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1_B64CC113CFF4EB1AF69E089730C78F7BA84CA300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 Deshboard" sheetId="1" r:id="rId1"/>
    <sheet name="Master sheet" sheetId="2" r:id="rId2"/>
    <sheet name="Indore City" sheetId="3" r:id="rId3"/>
    <sheet name="Indore MFL" sheetId="4" r:id="rId4"/>
    <sheet name="Khandwa" sheetId="5" r:id="rId5"/>
    <sheet name="Mandsaur" sheetId="6" r:id="rId6"/>
    <sheet name="Ratlam" sheetId="7" r:id="rId7"/>
    <sheet name="Sehore" sheetId="8" r:id="rId8"/>
    <sheet name="Sheet11" sheetId="9" r:id="rId9"/>
    <sheet name="Ujjain" sheetId="10" r:id="rId10"/>
    <sheet name="RMS ID Dn" sheetId="11" r:id="rId11"/>
    <sheet name="Sheet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3" i="2" l="1"/>
  <c r="G583" i="2"/>
  <c r="F583" i="2"/>
  <c r="D583" i="2"/>
  <c r="C583" i="2"/>
  <c r="B583" i="2"/>
  <c r="A583" i="2"/>
  <c r="H582" i="2"/>
  <c r="G582" i="2"/>
  <c r="F582" i="2"/>
  <c r="D582" i="2"/>
  <c r="C582" i="2"/>
  <c r="B582" i="2"/>
  <c r="A582" i="2"/>
  <c r="H581" i="2"/>
  <c r="G581" i="2"/>
  <c r="F581" i="2"/>
  <c r="D581" i="2"/>
  <c r="C581" i="2"/>
  <c r="B581" i="2"/>
  <c r="A581" i="2"/>
  <c r="H580" i="2"/>
  <c r="G580" i="2"/>
  <c r="F580" i="2"/>
  <c r="D580" i="2"/>
  <c r="C580" i="2"/>
  <c r="B580" i="2"/>
  <c r="A580" i="2"/>
  <c r="H579" i="2"/>
  <c r="G579" i="2"/>
  <c r="F579" i="2"/>
  <c r="D579" i="2"/>
  <c r="C579" i="2"/>
  <c r="B579" i="2"/>
  <c r="A579" i="2"/>
  <c r="H578" i="2"/>
  <c r="G578" i="2"/>
  <c r="F578" i="2"/>
  <c r="D578" i="2"/>
  <c r="C578" i="2"/>
  <c r="B578" i="2"/>
  <c r="A578" i="2"/>
  <c r="H577" i="2"/>
  <c r="G577" i="2"/>
  <c r="F577" i="2"/>
  <c r="D577" i="2"/>
  <c r="C577" i="2"/>
  <c r="B577" i="2"/>
  <c r="A577" i="2"/>
  <c r="H576" i="2"/>
  <c r="G576" i="2"/>
  <c r="F576" i="2"/>
  <c r="D576" i="2"/>
  <c r="C576" i="2"/>
  <c r="B576" i="2"/>
  <c r="A576" i="2"/>
  <c r="H575" i="2"/>
  <c r="G575" i="2"/>
  <c r="F575" i="2"/>
  <c r="D575" i="2"/>
  <c r="C575" i="2"/>
  <c r="B575" i="2"/>
  <c r="A575" i="2"/>
  <c r="H574" i="2"/>
  <c r="G574" i="2"/>
  <c r="F574" i="2"/>
  <c r="D574" i="2"/>
  <c r="C574" i="2"/>
  <c r="B574" i="2"/>
  <c r="A574" i="2"/>
  <c r="H573" i="2"/>
  <c r="G573" i="2"/>
  <c r="F573" i="2"/>
  <c r="D573" i="2"/>
  <c r="C573" i="2"/>
  <c r="B573" i="2"/>
  <c r="A573" i="2"/>
  <c r="H572" i="2"/>
  <c r="G572" i="2"/>
  <c r="F572" i="2"/>
  <c r="D572" i="2"/>
  <c r="C572" i="2"/>
  <c r="B572" i="2"/>
  <c r="A572" i="2"/>
  <c r="H571" i="2"/>
  <c r="G571" i="2"/>
  <c r="F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D531" i="2"/>
  <c r="C531" i="2"/>
  <c r="B531" i="2"/>
  <c r="A531" i="2"/>
  <c r="H530" i="2"/>
  <c r="G530" i="2"/>
  <c r="F530" i="2"/>
  <c r="D530" i="2"/>
  <c r="C530" i="2"/>
  <c r="B530" i="2"/>
  <c r="A530" i="2"/>
  <c r="H529" i="2"/>
  <c r="G529" i="2"/>
  <c r="F529" i="2"/>
  <c r="D529" i="2"/>
  <c r="C529" i="2"/>
  <c r="B529" i="2"/>
  <c r="A529" i="2"/>
  <c r="H528" i="2"/>
  <c r="G528" i="2"/>
  <c r="F528" i="2"/>
  <c r="D528" i="2"/>
  <c r="C528" i="2"/>
  <c r="B528" i="2"/>
  <c r="A528" i="2"/>
  <c r="H527" i="2"/>
  <c r="G527" i="2"/>
  <c r="F527" i="2"/>
  <c r="D527" i="2"/>
  <c r="C527" i="2"/>
  <c r="B527" i="2"/>
  <c r="A527" i="2"/>
  <c r="H526" i="2"/>
  <c r="G526" i="2"/>
  <c r="F526" i="2"/>
  <c r="D526" i="2"/>
  <c r="C526" i="2"/>
  <c r="B526" i="2"/>
  <c r="A526" i="2"/>
  <c r="H525" i="2"/>
  <c r="G525" i="2"/>
  <c r="F525" i="2"/>
  <c r="D525" i="2"/>
  <c r="C525" i="2"/>
  <c r="B525" i="2"/>
  <c r="A525" i="2"/>
  <c r="H524" i="2"/>
  <c r="G524" i="2"/>
  <c r="F524" i="2"/>
  <c r="D524" i="2"/>
  <c r="C524" i="2"/>
  <c r="B524" i="2"/>
  <c r="A524" i="2"/>
  <c r="H523" i="2"/>
  <c r="G523" i="2"/>
  <c r="F523" i="2"/>
  <c r="D523" i="2"/>
  <c r="C523" i="2"/>
  <c r="B523" i="2"/>
  <c r="A523" i="2"/>
  <c r="H522" i="2"/>
  <c r="G522" i="2"/>
  <c r="F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D506" i="2"/>
  <c r="C506" i="2"/>
  <c r="B506" i="2"/>
  <c r="A506" i="2"/>
  <c r="H505" i="2"/>
  <c r="G505" i="2"/>
  <c r="F505" i="2"/>
  <c r="D505" i="2"/>
  <c r="C505" i="2"/>
  <c r="B505" i="2"/>
  <c r="A505" i="2"/>
  <c r="H504" i="2"/>
  <c r="G504" i="2"/>
  <c r="F504" i="2"/>
  <c r="D504" i="2"/>
  <c r="C504" i="2"/>
  <c r="B504" i="2"/>
  <c r="A504" i="2"/>
  <c r="H503" i="2"/>
  <c r="G503" i="2"/>
  <c r="F503" i="2"/>
  <c r="D503" i="2"/>
  <c r="C503" i="2"/>
  <c r="B503" i="2"/>
  <c r="A503" i="2"/>
  <c r="H502" i="2"/>
  <c r="G502" i="2"/>
  <c r="F502" i="2"/>
  <c r="D502" i="2"/>
  <c r="C502" i="2"/>
  <c r="B502" i="2"/>
  <c r="A502" i="2"/>
  <c r="H501" i="2"/>
  <c r="G501" i="2"/>
  <c r="F501" i="2"/>
  <c r="D501" i="2"/>
  <c r="C501" i="2"/>
  <c r="B501" i="2"/>
  <c r="A501" i="2"/>
  <c r="H500" i="2"/>
  <c r="G500" i="2"/>
  <c r="F500" i="2"/>
  <c r="D500" i="2"/>
  <c r="C500" i="2"/>
  <c r="B500" i="2"/>
  <c r="A500" i="2"/>
  <c r="H499" i="2"/>
  <c r="G499" i="2"/>
  <c r="F499" i="2"/>
  <c r="D499" i="2"/>
  <c r="C499" i="2"/>
  <c r="B499" i="2"/>
  <c r="A499" i="2"/>
  <c r="H498" i="2"/>
  <c r="G498" i="2"/>
  <c r="F498" i="2"/>
  <c r="D498" i="2"/>
  <c r="C498" i="2"/>
  <c r="B498" i="2"/>
  <c r="A498" i="2"/>
  <c r="H497" i="2"/>
  <c r="G497" i="2"/>
  <c r="F497" i="2"/>
  <c r="D497" i="2"/>
  <c r="C497" i="2"/>
  <c r="B497" i="2"/>
  <c r="A497" i="2"/>
  <c r="H496" i="2"/>
  <c r="G496" i="2"/>
  <c r="F496" i="2"/>
  <c r="D496" i="2"/>
  <c r="C496" i="2"/>
  <c r="B496" i="2"/>
  <c r="A496" i="2"/>
  <c r="H495" i="2"/>
  <c r="G495" i="2"/>
  <c r="F495" i="2"/>
  <c r="D495" i="2"/>
  <c r="C495" i="2"/>
  <c r="B495" i="2"/>
  <c r="A495" i="2"/>
  <c r="H494" i="2"/>
  <c r="G494" i="2"/>
  <c r="F494" i="2"/>
  <c r="D494" i="2"/>
  <c r="C494" i="2"/>
  <c r="B494" i="2"/>
  <c r="A494" i="2"/>
  <c r="H493" i="2"/>
  <c r="G493" i="2"/>
  <c r="F493" i="2"/>
  <c r="D493" i="2"/>
  <c r="C493" i="2"/>
  <c r="B493" i="2"/>
  <c r="A493" i="2"/>
  <c r="H492" i="2"/>
  <c r="G492" i="2"/>
  <c r="F492" i="2"/>
  <c r="D492" i="2"/>
  <c r="C492" i="2"/>
  <c r="B492" i="2"/>
  <c r="A492" i="2"/>
  <c r="H491" i="2"/>
  <c r="G491" i="2"/>
  <c r="F491" i="2"/>
  <c r="D491" i="2"/>
  <c r="C491" i="2"/>
  <c r="B491" i="2"/>
  <c r="A491" i="2"/>
  <c r="H490" i="2"/>
  <c r="G490" i="2"/>
  <c r="F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D463" i="2"/>
  <c r="C463" i="2"/>
  <c r="B463" i="2"/>
  <c r="A463" i="2"/>
  <c r="H462" i="2"/>
  <c r="G462" i="2"/>
  <c r="F462" i="2"/>
  <c r="D462" i="2"/>
  <c r="C462" i="2"/>
  <c r="B462" i="2"/>
  <c r="A462" i="2"/>
  <c r="H461" i="2"/>
  <c r="G461" i="2"/>
  <c r="F461" i="2"/>
  <c r="D461" i="2"/>
  <c r="C461" i="2"/>
  <c r="B461" i="2"/>
  <c r="A461" i="2"/>
  <c r="H460" i="2"/>
  <c r="G460" i="2"/>
  <c r="F460" i="2"/>
  <c r="D460" i="2"/>
  <c r="C460" i="2"/>
  <c r="B460" i="2"/>
  <c r="A460" i="2"/>
  <c r="H459" i="2"/>
  <c r="G459" i="2"/>
  <c r="F459" i="2"/>
  <c r="D459" i="2"/>
  <c r="C459" i="2"/>
  <c r="B459" i="2"/>
  <c r="A459" i="2"/>
  <c r="H458" i="2"/>
  <c r="G458" i="2"/>
  <c r="F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D429" i="2"/>
  <c r="C429" i="2"/>
  <c r="B429" i="2"/>
  <c r="A429" i="2"/>
  <c r="H428" i="2"/>
  <c r="G428" i="2"/>
  <c r="D428" i="2"/>
  <c r="C428" i="2"/>
  <c r="B428" i="2"/>
  <c r="A428" i="2"/>
  <c r="H427" i="2"/>
  <c r="G427" i="2"/>
  <c r="D427" i="2"/>
  <c r="C427" i="2"/>
  <c r="B427" i="2"/>
  <c r="A427" i="2"/>
  <c r="H426" i="2"/>
  <c r="G426" i="2"/>
  <c r="D426" i="2"/>
  <c r="C426" i="2"/>
  <c r="B426" i="2"/>
  <c r="A426" i="2"/>
  <c r="H425" i="2"/>
  <c r="G425" i="2"/>
  <c r="D425" i="2"/>
  <c r="C425" i="2"/>
  <c r="B425" i="2"/>
  <c r="A425" i="2"/>
  <c r="H424" i="2"/>
  <c r="G424" i="2"/>
  <c r="D424" i="2"/>
  <c r="C424" i="2"/>
  <c r="B424" i="2"/>
  <c r="A424" i="2"/>
  <c r="H423" i="2"/>
  <c r="G423" i="2"/>
  <c r="D423" i="2"/>
  <c r="C423" i="2"/>
  <c r="B423" i="2"/>
  <c r="A423" i="2"/>
  <c r="H422" i="2"/>
  <c r="G422" i="2"/>
  <c r="D422" i="2"/>
  <c r="C422" i="2"/>
  <c r="B422" i="2"/>
  <c r="A422" i="2"/>
  <c r="H421" i="2"/>
  <c r="G421" i="2"/>
  <c r="D421" i="2"/>
  <c r="C421" i="2"/>
  <c r="B421" i="2"/>
  <c r="A421" i="2"/>
  <c r="H420" i="2"/>
  <c r="G420" i="2"/>
  <c r="D420" i="2"/>
  <c r="C420" i="2"/>
  <c r="B420" i="2"/>
  <c r="A420" i="2"/>
  <c r="H419" i="2"/>
  <c r="G419" i="2"/>
  <c r="D419" i="2"/>
  <c r="C419" i="2"/>
  <c r="B419" i="2"/>
  <c r="A419" i="2"/>
  <c r="H418" i="2"/>
  <c r="G418" i="2"/>
  <c r="D418" i="2"/>
  <c r="C418" i="2"/>
  <c r="B418" i="2"/>
  <c r="A418" i="2"/>
  <c r="H417" i="2"/>
  <c r="G417" i="2"/>
  <c r="D417" i="2"/>
  <c r="C417" i="2"/>
  <c r="B417" i="2"/>
  <c r="A417" i="2"/>
  <c r="H416" i="2"/>
  <c r="G416" i="2"/>
  <c r="D416" i="2"/>
  <c r="C416" i="2"/>
  <c r="B416" i="2"/>
  <c r="A416" i="2"/>
  <c r="H415" i="2"/>
  <c r="G415" i="2"/>
  <c r="D415" i="2"/>
  <c r="C415" i="2"/>
  <c r="B415" i="2"/>
  <c r="A415" i="2"/>
  <c r="H414" i="2"/>
  <c r="G414" i="2"/>
  <c r="D414" i="2"/>
  <c r="C414" i="2"/>
  <c r="B414" i="2"/>
  <c r="A414" i="2"/>
  <c r="H413" i="2"/>
  <c r="G413" i="2"/>
  <c r="D413" i="2"/>
  <c r="C413" i="2"/>
  <c r="B413" i="2"/>
  <c r="A413" i="2"/>
  <c r="H412" i="2"/>
  <c r="G412" i="2"/>
  <c r="D412" i="2"/>
  <c r="C412" i="2"/>
  <c r="B412" i="2"/>
  <c r="A412" i="2"/>
  <c r="H411" i="2"/>
  <c r="G411" i="2"/>
  <c r="D411" i="2"/>
  <c r="C411" i="2"/>
  <c r="B411" i="2"/>
  <c r="A411" i="2"/>
  <c r="H410" i="2"/>
  <c r="G410" i="2"/>
  <c r="D410" i="2"/>
  <c r="C410" i="2"/>
  <c r="B410" i="2"/>
  <c r="A410" i="2"/>
  <c r="H409" i="2"/>
  <c r="G409" i="2"/>
  <c r="D409" i="2"/>
  <c r="C409" i="2"/>
  <c r="B409" i="2"/>
  <c r="A409" i="2"/>
  <c r="H408" i="2"/>
  <c r="G408" i="2"/>
  <c r="D408" i="2"/>
  <c r="C408" i="2"/>
  <c r="B408" i="2"/>
  <c r="A408" i="2"/>
  <c r="H407" i="2"/>
  <c r="G407" i="2"/>
  <c r="D407" i="2"/>
  <c r="C407" i="2"/>
  <c r="B407" i="2"/>
  <c r="A407" i="2"/>
  <c r="H406" i="2"/>
  <c r="G406" i="2"/>
  <c r="D406" i="2"/>
  <c r="C406" i="2"/>
  <c r="B406" i="2"/>
  <c r="A406" i="2"/>
  <c r="H405" i="2"/>
  <c r="G405" i="2"/>
  <c r="D405" i="2"/>
  <c r="C405" i="2"/>
  <c r="B405" i="2"/>
  <c r="A405" i="2"/>
  <c r="H404" i="2"/>
  <c r="G404" i="2"/>
  <c r="D404" i="2"/>
  <c r="C404" i="2"/>
  <c r="B404" i="2"/>
  <c r="A404" i="2"/>
  <c r="H403" i="2"/>
  <c r="G403" i="2"/>
  <c r="D403" i="2"/>
  <c r="C403" i="2"/>
  <c r="B403" i="2"/>
  <c r="A403" i="2"/>
  <c r="H402" i="2"/>
  <c r="G402" i="2"/>
  <c r="D402" i="2"/>
  <c r="C402" i="2"/>
  <c r="B402" i="2"/>
  <c r="A402" i="2"/>
  <c r="H401" i="2"/>
  <c r="G401" i="2"/>
  <c r="D401" i="2"/>
  <c r="C401" i="2"/>
  <c r="B401" i="2"/>
  <c r="A401" i="2"/>
  <c r="H400" i="2"/>
  <c r="G400" i="2"/>
  <c r="D400" i="2"/>
  <c r="C400" i="2"/>
  <c r="B400" i="2"/>
  <c r="A400" i="2"/>
  <c r="H399" i="2"/>
  <c r="G399" i="2"/>
  <c r="D399" i="2"/>
  <c r="C399" i="2"/>
  <c r="B399" i="2"/>
  <c r="A399" i="2"/>
  <c r="H398" i="2"/>
  <c r="G398" i="2"/>
  <c r="D398" i="2"/>
  <c r="C398" i="2"/>
  <c r="B398" i="2"/>
  <c r="A398" i="2"/>
  <c r="H397" i="2"/>
  <c r="G397" i="2"/>
  <c r="D397" i="2"/>
  <c r="C397" i="2"/>
  <c r="B397" i="2"/>
  <c r="A397" i="2"/>
  <c r="H396" i="2"/>
  <c r="G396" i="2"/>
  <c r="D396" i="2"/>
  <c r="C396" i="2"/>
  <c r="B396" i="2"/>
  <c r="A396" i="2"/>
  <c r="H395" i="2"/>
  <c r="G395" i="2"/>
  <c r="D395" i="2"/>
  <c r="C395" i="2"/>
  <c r="B395" i="2"/>
  <c r="A395" i="2"/>
  <c r="H394" i="2"/>
  <c r="G394" i="2"/>
  <c r="D394" i="2"/>
  <c r="C394" i="2"/>
  <c r="B394" i="2"/>
  <c r="A394" i="2"/>
  <c r="H393" i="2"/>
  <c r="G393" i="2"/>
  <c r="D393" i="2"/>
  <c r="C393" i="2"/>
  <c r="B393" i="2"/>
  <c r="A393" i="2"/>
  <c r="H392" i="2"/>
  <c r="G392" i="2"/>
  <c r="D392" i="2"/>
  <c r="C392" i="2"/>
  <c r="B392" i="2"/>
  <c r="A392" i="2"/>
  <c r="H391" i="2"/>
  <c r="G391" i="2"/>
  <c r="D391" i="2"/>
  <c r="C391" i="2"/>
  <c r="B391" i="2"/>
  <c r="A391" i="2"/>
  <c r="H390" i="2"/>
  <c r="G390" i="2"/>
  <c r="D390" i="2"/>
  <c r="C390" i="2"/>
  <c r="B390" i="2"/>
  <c r="A390" i="2"/>
  <c r="H389" i="2"/>
  <c r="G389" i="2"/>
  <c r="D389" i="2"/>
  <c r="C389" i="2"/>
  <c r="B389" i="2"/>
  <c r="A389" i="2"/>
  <c r="H388" i="2"/>
  <c r="G388" i="2"/>
  <c r="D388" i="2"/>
  <c r="C388" i="2"/>
  <c r="B388" i="2"/>
  <c r="A388" i="2"/>
  <c r="H387" i="2"/>
  <c r="G387" i="2"/>
  <c r="D387" i="2"/>
  <c r="C387" i="2"/>
  <c r="B387" i="2"/>
  <c r="A387" i="2"/>
  <c r="H386" i="2"/>
  <c r="G386" i="2"/>
  <c r="D386" i="2"/>
  <c r="C386" i="2"/>
  <c r="B386" i="2"/>
  <c r="A386" i="2"/>
  <c r="H385" i="2"/>
  <c r="G385" i="2"/>
  <c r="D385" i="2"/>
  <c r="C385" i="2"/>
  <c r="B385" i="2"/>
  <c r="A385" i="2"/>
  <c r="H384" i="2"/>
  <c r="G384" i="2"/>
  <c r="D384" i="2"/>
  <c r="C384" i="2"/>
  <c r="B384" i="2"/>
  <c r="A384" i="2"/>
  <c r="H383" i="2"/>
  <c r="G383" i="2"/>
  <c r="D383" i="2"/>
  <c r="C383" i="2"/>
  <c r="B383" i="2"/>
  <c r="A383" i="2"/>
  <c r="H382" i="2"/>
  <c r="G382" i="2"/>
  <c r="D382" i="2"/>
  <c r="C382" i="2"/>
  <c r="B382" i="2"/>
  <c r="A382" i="2"/>
  <c r="H381" i="2"/>
  <c r="G381" i="2"/>
  <c r="D381" i="2"/>
  <c r="C381" i="2"/>
  <c r="B381" i="2"/>
  <c r="A381" i="2"/>
  <c r="H380" i="2"/>
  <c r="G380" i="2"/>
  <c r="D380" i="2"/>
  <c r="C380" i="2"/>
  <c r="B380" i="2"/>
  <c r="A380" i="2"/>
  <c r="H379" i="2"/>
  <c r="G379" i="2"/>
  <c r="D379" i="2"/>
  <c r="C379" i="2"/>
  <c r="B379" i="2"/>
  <c r="A379" i="2"/>
  <c r="H378" i="2"/>
  <c r="G378" i="2"/>
  <c r="D378" i="2"/>
  <c r="C378" i="2"/>
  <c r="B378" i="2"/>
  <c r="A378" i="2"/>
  <c r="H377" i="2"/>
  <c r="G377" i="2"/>
  <c r="D377" i="2"/>
  <c r="C377" i="2"/>
  <c r="B377" i="2"/>
  <c r="A377" i="2"/>
  <c r="H376" i="2"/>
  <c r="G376" i="2"/>
  <c r="D376" i="2"/>
  <c r="C376" i="2"/>
  <c r="B376" i="2"/>
  <c r="A376" i="2"/>
  <c r="H375" i="2"/>
  <c r="G375" i="2"/>
  <c r="D375" i="2"/>
  <c r="C375" i="2"/>
  <c r="B375" i="2"/>
  <c r="A375" i="2"/>
  <c r="H374" i="2"/>
  <c r="G374" i="2"/>
  <c r="D374" i="2"/>
  <c r="C374" i="2"/>
  <c r="B374" i="2"/>
  <c r="A374" i="2"/>
  <c r="B373" i="2"/>
  <c r="A373" i="2"/>
  <c r="B372" i="2"/>
  <c r="A372" i="2"/>
  <c r="B371" i="2"/>
  <c r="A371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D364" i="2"/>
  <c r="C364" i="2"/>
  <c r="B364" i="2"/>
  <c r="A364" i="2"/>
  <c r="H363" i="2"/>
  <c r="G363" i="2"/>
  <c r="F363" i="2"/>
  <c r="D363" i="2"/>
  <c r="C363" i="2"/>
  <c r="B363" i="2"/>
  <c r="A363" i="2"/>
  <c r="H362" i="2"/>
  <c r="G362" i="2"/>
  <c r="F362" i="2"/>
  <c r="D362" i="2"/>
  <c r="C362" i="2"/>
  <c r="B362" i="2"/>
  <c r="A362" i="2"/>
  <c r="H361" i="2"/>
  <c r="G361" i="2"/>
  <c r="F361" i="2"/>
  <c r="D361" i="2"/>
  <c r="C361" i="2"/>
  <c r="B361" i="2"/>
  <c r="A361" i="2"/>
  <c r="H360" i="2"/>
  <c r="G360" i="2"/>
  <c r="F360" i="2"/>
  <c r="D360" i="2"/>
  <c r="C360" i="2"/>
  <c r="B360" i="2"/>
  <c r="A360" i="2"/>
  <c r="H359" i="2"/>
  <c r="G359" i="2"/>
  <c r="F359" i="2"/>
  <c r="D359" i="2"/>
  <c r="C359" i="2"/>
  <c r="B359" i="2"/>
  <c r="A359" i="2"/>
  <c r="H358" i="2"/>
  <c r="G358" i="2"/>
  <c r="F358" i="2"/>
  <c r="D358" i="2"/>
  <c r="C358" i="2"/>
  <c r="B358" i="2"/>
  <c r="A358" i="2"/>
  <c r="H357" i="2"/>
  <c r="G357" i="2"/>
  <c r="F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D355" i="2"/>
  <c r="C355" i="2"/>
  <c r="B355" i="2"/>
  <c r="A355" i="2"/>
  <c r="H354" i="2"/>
  <c r="G354" i="2"/>
  <c r="F354" i="2"/>
  <c r="D354" i="2"/>
  <c r="C354" i="2"/>
  <c r="B354" i="2"/>
  <c r="A354" i="2"/>
  <c r="H353" i="2"/>
  <c r="G353" i="2"/>
  <c r="F353" i="2"/>
  <c r="D353" i="2"/>
  <c r="C353" i="2"/>
  <c r="B353" i="2"/>
  <c r="A353" i="2"/>
  <c r="H352" i="2"/>
  <c r="G352" i="2"/>
  <c r="F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E348" i="2"/>
  <c r="D348" i="2"/>
  <c r="C348" i="2"/>
  <c r="B348" i="2"/>
  <c r="A348" i="2"/>
  <c r="H347" i="2"/>
  <c r="G347" i="2"/>
  <c r="E347" i="2"/>
  <c r="D347" i="2"/>
  <c r="C347" i="2"/>
  <c r="B347" i="2"/>
  <c r="A347" i="2"/>
  <c r="H346" i="2"/>
  <c r="G346" i="2"/>
  <c r="E346" i="2"/>
  <c r="D346" i="2"/>
  <c r="C346" i="2"/>
  <c r="B346" i="2"/>
  <c r="A346" i="2"/>
  <c r="H345" i="2"/>
  <c r="G345" i="2"/>
  <c r="E345" i="2"/>
  <c r="D345" i="2"/>
  <c r="C345" i="2"/>
  <c r="B345" i="2"/>
  <c r="A345" i="2"/>
  <c r="H344" i="2"/>
  <c r="G344" i="2"/>
  <c r="E344" i="2"/>
  <c r="D344" i="2"/>
  <c r="C344" i="2"/>
  <c r="B344" i="2"/>
  <c r="A344" i="2"/>
  <c r="H343" i="2"/>
  <c r="G343" i="2"/>
  <c r="E343" i="2"/>
  <c r="D343" i="2"/>
  <c r="C343" i="2"/>
  <c r="B343" i="2"/>
  <c r="A343" i="2"/>
  <c r="G342" i="2"/>
  <c r="E342" i="2"/>
  <c r="D342" i="2"/>
  <c r="C342" i="2"/>
  <c r="B342" i="2"/>
  <c r="A342" i="2"/>
  <c r="G341" i="2"/>
  <c r="E341" i="2"/>
  <c r="D341" i="2"/>
  <c r="C341" i="2"/>
  <c r="B341" i="2"/>
  <c r="A341" i="2"/>
  <c r="G340" i="2"/>
  <c r="E340" i="2"/>
  <c r="D340" i="2"/>
  <c r="C340" i="2"/>
  <c r="B340" i="2"/>
  <c r="A340" i="2"/>
  <c r="H339" i="2"/>
  <c r="G339" i="2"/>
  <c r="E339" i="2"/>
  <c r="D339" i="2"/>
  <c r="C339" i="2"/>
  <c r="B339" i="2"/>
  <c r="A339" i="2"/>
  <c r="G338" i="2"/>
  <c r="E338" i="2"/>
  <c r="D338" i="2"/>
  <c r="C338" i="2"/>
  <c r="B338" i="2"/>
  <c r="A338" i="2"/>
  <c r="G337" i="2"/>
  <c r="E337" i="2"/>
  <c r="D337" i="2"/>
  <c r="C337" i="2"/>
  <c r="B337" i="2"/>
  <c r="A337" i="2"/>
  <c r="H336" i="2"/>
  <c r="G336" i="2"/>
  <c r="E336" i="2"/>
  <c r="D336" i="2"/>
  <c r="C336" i="2"/>
  <c r="B336" i="2"/>
  <c r="A336" i="2"/>
  <c r="H335" i="2"/>
  <c r="G335" i="2"/>
  <c r="E335" i="2"/>
  <c r="D335" i="2"/>
  <c r="C335" i="2"/>
  <c r="B335" i="2"/>
  <c r="A335" i="2"/>
  <c r="G334" i="2"/>
  <c r="E334" i="2"/>
  <c r="D334" i="2"/>
  <c r="C334" i="2"/>
  <c r="B334" i="2"/>
  <c r="A334" i="2"/>
  <c r="G333" i="2"/>
  <c r="E333" i="2"/>
  <c r="D333" i="2"/>
  <c r="C333" i="2"/>
  <c r="B333" i="2"/>
  <c r="A333" i="2"/>
  <c r="G332" i="2"/>
  <c r="E332" i="2"/>
  <c r="D332" i="2"/>
  <c r="C332" i="2"/>
  <c r="B332" i="2"/>
  <c r="A332" i="2"/>
  <c r="G331" i="2"/>
  <c r="E331" i="2"/>
  <c r="D331" i="2"/>
  <c r="C331" i="2"/>
  <c r="B331" i="2"/>
  <c r="A331" i="2"/>
  <c r="G330" i="2"/>
  <c r="E330" i="2"/>
  <c r="D330" i="2"/>
  <c r="C330" i="2"/>
  <c r="B330" i="2"/>
  <c r="A330" i="2"/>
  <c r="H329" i="2"/>
  <c r="G329" i="2"/>
  <c r="E329" i="2"/>
  <c r="D329" i="2"/>
  <c r="C329" i="2"/>
  <c r="B329" i="2"/>
  <c r="A329" i="2"/>
  <c r="H328" i="2"/>
  <c r="G328" i="2"/>
  <c r="E328" i="2"/>
  <c r="D328" i="2"/>
  <c r="C328" i="2"/>
  <c r="B328" i="2"/>
  <c r="A328" i="2"/>
  <c r="H327" i="2"/>
  <c r="G327" i="2"/>
  <c r="E327" i="2"/>
  <c r="D327" i="2"/>
  <c r="C327" i="2"/>
  <c r="B327" i="2"/>
  <c r="A327" i="2"/>
  <c r="H326" i="2"/>
  <c r="G326" i="2"/>
  <c r="E326" i="2"/>
  <c r="D326" i="2"/>
  <c r="C326" i="2"/>
  <c r="B326" i="2"/>
  <c r="A326" i="2"/>
  <c r="H325" i="2"/>
  <c r="G325" i="2"/>
  <c r="E325" i="2"/>
  <c r="D325" i="2"/>
  <c r="C325" i="2"/>
  <c r="B325" i="2"/>
  <c r="A325" i="2"/>
  <c r="H324" i="2"/>
  <c r="G324" i="2"/>
  <c r="E324" i="2"/>
  <c r="D324" i="2"/>
  <c r="C324" i="2"/>
  <c r="B324" i="2"/>
  <c r="A324" i="2"/>
  <c r="H323" i="2"/>
  <c r="G323" i="2"/>
  <c r="E323" i="2"/>
  <c r="D323" i="2"/>
  <c r="C323" i="2"/>
  <c r="B323" i="2"/>
  <c r="A323" i="2"/>
  <c r="H322" i="2"/>
  <c r="G322" i="2"/>
  <c r="E322" i="2"/>
  <c r="D322" i="2"/>
  <c r="C322" i="2"/>
  <c r="B322" i="2"/>
  <c r="A322" i="2"/>
  <c r="H321" i="2"/>
  <c r="G321" i="2"/>
  <c r="E321" i="2"/>
  <c r="D321" i="2"/>
  <c r="C321" i="2"/>
  <c r="B321" i="2"/>
  <c r="A321" i="2"/>
  <c r="H320" i="2"/>
  <c r="G320" i="2"/>
  <c r="E320" i="2"/>
  <c r="D320" i="2"/>
  <c r="C320" i="2"/>
  <c r="B320" i="2"/>
  <c r="A320" i="2"/>
  <c r="H319" i="2"/>
  <c r="G319" i="2"/>
  <c r="E319" i="2"/>
  <c r="D319" i="2"/>
  <c r="C319" i="2"/>
  <c r="B319" i="2"/>
  <c r="A319" i="2"/>
  <c r="H318" i="2"/>
  <c r="G318" i="2"/>
  <c r="E318" i="2"/>
  <c r="D318" i="2"/>
  <c r="C318" i="2"/>
  <c r="B318" i="2"/>
  <c r="A318" i="2"/>
  <c r="H317" i="2"/>
  <c r="G317" i="2"/>
  <c r="E317" i="2"/>
  <c r="D317" i="2"/>
  <c r="C317" i="2"/>
  <c r="B317" i="2"/>
  <c r="A317" i="2"/>
  <c r="H316" i="2"/>
  <c r="G316" i="2"/>
  <c r="E316" i="2"/>
  <c r="D316" i="2"/>
  <c r="C316" i="2"/>
  <c r="B316" i="2"/>
  <c r="A316" i="2"/>
  <c r="H315" i="2"/>
  <c r="G315" i="2"/>
  <c r="E315" i="2"/>
  <c r="D315" i="2"/>
  <c r="C315" i="2"/>
  <c r="B315" i="2"/>
  <c r="A315" i="2"/>
  <c r="H314" i="2"/>
  <c r="G314" i="2"/>
  <c r="E314" i="2"/>
  <c r="D314" i="2"/>
  <c r="C314" i="2"/>
  <c r="B314" i="2"/>
  <c r="A314" i="2"/>
  <c r="H313" i="2"/>
  <c r="G313" i="2"/>
  <c r="E313" i="2"/>
  <c r="D313" i="2"/>
  <c r="C313" i="2"/>
  <c r="B313" i="2"/>
  <c r="A313" i="2"/>
  <c r="H312" i="2"/>
  <c r="G312" i="2"/>
  <c r="E312" i="2"/>
  <c r="D312" i="2"/>
  <c r="C312" i="2"/>
  <c r="B312" i="2"/>
  <c r="A312" i="2"/>
  <c r="H311" i="2"/>
  <c r="G311" i="2"/>
  <c r="E311" i="2"/>
  <c r="D311" i="2"/>
  <c r="C311" i="2"/>
  <c r="B311" i="2"/>
  <c r="A311" i="2"/>
  <c r="H310" i="2"/>
  <c r="G310" i="2"/>
  <c r="E310" i="2"/>
  <c r="D310" i="2"/>
  <c r="C310" i="2"/>
  <c r="B310" i="2"/>
  <c r="A310" i="2"/>
  <c r="H309" i="2"/>
  <c r="G309" i="2"/>
  <c r="E309" i="2"/>
  <c r="D309" i="2"/>
  <c r="C309" i="2"/>
  <c r="B309" i="2"/>
  <c r="A309" i="2"/>
  <c r="H308" i="2"/>
  <c r="G308" i="2"/>
  <c r="E308" i="2"/>
  <c r="D308" i="2"/>
  <c r="C308" i="2"/>
  <c r="B308" i="2"/>
  <c r="A308" i="2"/>
  <c r="H307" i="2"/>
  <c r="G307" i="2"/>
  <c r="E307" i="2"/>
  <c r="D307" i="2"/>
  <c r="C307" i="2"/>
  <c r="B307" i="2"/>
  <c r="A307" i="2"/>
  <c r="H306" i="2"/>
  <c r="G306" i="2"/>
  <c r="E306" i="2"/>
  <c r="D306" i="2"/>
  <c r="C306" i="2"/>
  <c r="B306" i="2"/>
  <c r="A306" i="2"/>
  <c r="H305" i="2"/>
  <c r="G305" i="2"/>
  <c r="E305" i="2"/>
  <c r="D305" i="2"/>
  <c r="C305" i="2"/>
  <c r="B305" i="2"/>
  <c r="A305" i="2"/>
  <c r="H304" i="2"/>
  <c r="G304" i="2"/>
  <c r="E304" i="2"/>
  <c r="D304" i="2"/>
  <c r="C304" i="2"/>
  <c r="B304" i="2"/>
  <c r="A304" i="2"/>
  <c r="H303" i="2"/>
  <c r="G303" i="2"/>
  <c r="E303" i="2"/>
  <c r="D303" i="2"/>
  <c r="C303" i="2"/>
  <c r="B303" i="2"/>
  <c r="A303" i="2"/>
  <c r="H302" i="2"/>
  <c r="G302" i="2"/>
  <c r="E302" i="2"/>
  <c r="D302" i="2"/>
  <c r="C302" i="2"/>
  <c r="B302" i="2"/>
  <c r="A302" i="2"/>
  <c r="H301" i="2"/>
  <c r="G301" i="2"/>
  <c r="E301" i="2"/>
  <c r="D301" i="2"/>
  <c r="C301" i="2"/>
  <c r="B301" i="2"/>
  <c r="A301" i="2"/>
  <c r="H300" i="2"/>
  <c r="G300" i="2"/>
  <c r="E300" i="2"/>
  <c r="D300" i="2"/>
  <c r="C300" i="2"/>
  <c r="B300" i="2"/>
  <c r="A300" i="2"/>
  <c r="H299" i="2"/>
  <c r="G299" i="2"/>
  <c r="E299" i="2"/>
  <c r="D299" i="2"/>
  <c r="C299" i="2"/>
  <c r="B299" i="2"/>
  <c r="A299" i="2"/>
  <c r="H298" i="2"/>
  <c r="G298" i="2"/>
  <c r="E298" i="2"/>
  <c r="D298" i="2"/>
  <c r="C298" i="2"/>
  <c r="B298" i="2"/>
  <c r="A298" i="2"/>
  <c r="H297" i="2"/>
  <c r="G297" i="2"/>
  <c r="E297" i="2"/>
  <c r="D297" i="2"/>
  <c r="C297" i="2"/>
  <c r="B297" i="2"/>
  <c r="A297" i="2"/>
  <c r="H296" i="2"/>
  <c r="G296" i="2"/>
  <c r="E296" i="2"/>
  <c r="D296" i="2"/>
  <c r="C296" i="2"/>
  <c r="B296" i="2"/>
  <c r="A296" i="2"/>
  <c r="H295" i="2"/>
  <c r="G295" i="2"/>
  <c r="E295" i="2"/>
  <c r="D295" i="2"/>
  <c r="C295" i="2"/>
  <c r="B295" i="2"/>
  <c r="A295" i="2"/>
  <c r="H294" i="2"/>
  <c r="G294" i="2"/>
  <c r="E294" i="2"/>
  <c r="D294" i="2"/>
  <c r="C294" i="2"/>
  <c r="B294" i="2"/>
  <c r="A294" i="2"/>
  <c r="H293" i="2"/>
  <c r="G293" i="2"/>
  <c r="E293" i="2"/>
  <c r="D293" i="2"/>
  <c r="C293" i="2"/>
  <c r="B293" i="2"/>
  <c r="A293" i="2"/>
  <c r="H292" i="2"/>
  <c r="G292" i="2"/>
  <c r="E292" i="2"/>
  <c r="D292" i="2"/>
  <c r="C292" i="2"/>
  <c r="B292" i="2"/>
  <c r="A292" i="2"/>
  <c r="H291" i="2"/>
  <c r="G291" i="2"/>
  <c r="E291" i="2"/>
  <c r="D291" i="2"/>
  <c r="C291" i="2"/>
  <c r="B291" i="2"/>
  <c r="A291" i="2"/>
  <c r="H290" i="2"/>
  <c r="G290" i="2"/>
  <c r="E290" i="2"/>
  <c r="D290" i="2"/>
  <c r="C290" i="2"/>
  <c r="B290" i="2"/>
  <c r="A290" i="2"/>
  <c r="H289" i="2"/>
  <c r="G289" i="2"/>
  <c r="E289" i="2"/>
  <c r="D289" i="2"/>
  <c r="C289" i="2"/>
  <c r="B289" i="2"/>
  <c r="A289" i="2"/>
  <c r="H288" i="2"/>
  <c r="G288" i="2"/>
  <c r="E288" i="2"/>
  <c r="D288" i="2"/>
  <c r="C288" i="2"/>
  <c r="B288" i="2"/>
  <c r="A288" i="2"/>
  <c r="H287" i="2"/>
  <c r="G287" i="2"/>
  <c r="E287" i="2"/>
  <c r="D287" i="2"/>
  <c r="C287" i="2"/>
  <c r="B287" i="2"/>
  <c r="A287" i="2"/>
  <c r="H286" i="2"/>
  <c r="G286" i="2"/>
  <c r="E286" i="2"/>
  <c r="D286" i="2"/>
  <c r="C286" i="2"/>
  <c r="B286" i="2"/>
  <c r="A286" i="2"/>
  <c r="H285" i="2"/>
  <c r="G285" i="2"/>
  <c r="E285" i="2"/>
  <c r="D285" i="2"/>
  <c r="C285" i="2"/>
  <c r="B285" i="2"/>
  <c r="A285" i="2"/>
  <c r="H284" i="2"/>
  <c r="G284" i="2"/>
  <c r="E284" i="2"/>
  <c r="D284" i="2"/>
  <c r="C284" i="2"/>
  <c r="B284" i="2"/>
  <c r="A284" i="2"/>
  <c r="H283" i="2"/>
  <c r="G283" i="2"/>
  <c r="E283" i="2"/>
  <c r="D283" i="2"/>
  <c r="C283" i="2"/>
  <c r="B283" i="2"/>
  <c r="A283" i="2"/>
  <c r="H282" i="2"/>
  <c r="G282" i="2"/>
  <c r="E282" i="2"/>
  <c r="D282" i="2"/>
  <c r="C282" i="2"/>
  <c r="B282" i="2"/>
  <c r="A282" i="2"/>
  <c r="H281" i="2"/>
  <c r="G281" i="2"/>
  <c r="E281" i="2"/>
  <c r="D281" i="2"/>
  <c r="C281" i="2"/>
  <c r="B281" i="2"/>
  <c r="A281" i="2"/>
  <c r="H280" i="2"/>
  <c r="G280" i="2"/>
  <c r="E280" i="2"/>
  <c r="D280" i="2"/>
  <c r="C280" i="2"/>
  <c r="B280" i="2"/>
  <c r="A280" i="2"/>
  <c r="H279" i="2"/>
  <c r="G279" i="2"/>
  <c r="E279" i="2"/>
  <c r="D279" i="2"/>
  <c r="C279" i="2"/>
  <c r="B279" i="2"/>
  <c r="A279" i="2"/>
  <c r="H278" i="2"/>
  <c r="G278" i="2"/>
  <c r="E278" i="2"/>
  <c r="D278" i="2"/>
  <c r="C278" i="2"/>
  <c r="B278" i="2"/>
  <c r="A278" i="2"/>
  <c r="H277" i="2"/>
  <c r="G277" i="2"/>
  <c r="E277" i="2"/>
  <c r="D277" i="2"/>
  <c r="C277" i="2"/>
  <c r="B277" i="2"/>
  <c r="A277" i="2"/>
  <c r="H276" i="2"/>
  <c r="G276" i="2"/>
  <c r="E276" i="2"/>
  <c r="D276" i="2"/>
  <c r="C276" i="2"/>
  <c r="B276" i="2"/>
  <c r="A276" i="2"/>
  <c r="H275" i="2"/>
  <c r="G275" i="2"/>
  <c r="E275" i="2"/>
  <c r="D275" i="2"/>
  <c r="C275" i="2"/>
  <c r="B275" i="2"/>
  <c r="A275" i="2"/>
  <c r="H274" i="2"/>
  <c r="G274" i="2"/>
  <c r="E274" i="2"/>
  <c r="D274" i="2"/>
  <c r="C274" i="2"/>
  <c r="B274" i="2"/>
  <c r="A274" i="2"/>
  <c r="H273" i="2"/>
  <c r="G273" i="2"/>
  <c r="E273" i="2"/>
  <c r="D273" i="2"/>
  <c r="C273" i="2"/>
  <c r="B273" i="2"/>
  <c r="A273" i="2"/>
  <c r="H272" i="2"/>
  <c r="G272" i="2"/>
  <c r="E272" i="2"/>
  <c r="D272" i="2"/>
  <c r="C272" i="2"/>
  <c r="B272" i="2"/>
  <c r="A272" i="2"/>
  <c r="H271" i="2"/>
  <c r="G271" i="2"/>
  <c r="E271" i="2"/>
  <c r="D271" i="2"/>
  <c r="C271" i="2"/>
  <c r="B271" i="2"/>
  <c r="A271" i="2"/>
  <c r="H270" i="2"/>
  <c r="G270" i="2"/>
  <c r="E270" i="2"/>
  <c r="D270" i="2"/>
  <c r="C270" i="2"/>
  <c r="B270" i="2"/>
  <c r="A270" i="2"/>
  <c r="H269" i="2"/>
  <c r="G269" i="2"/>
  <c r="E269" i="2"/>
  <c r="D269" i="2"/>
  <c r="C269" i="2"/>
  <c r="B269" i="2"/>
  <c r="A269" i="2"/>
  <c r="H268" i="2"/>
  <c r="G268" i="2"/>
  <c r="E268" i="2"/>
  <c r="D268" i="2"/>
  <c r="C268" i="2"/>
  <c r="B268" i="2"/>
  <c r="A268" i="2"/>
  <c r="H267" i="2"/>
  <c r="G267" i="2"/>
  <c r="E267" i="2"/>
  <c r="D267" i="2"/>
  <c r="C267" i="2"/>
  <c r="B267" i="2"/>
  <c r="A267" i="2"/>
  <c r="H266" i="2"/>
  <c r="G266" i="2"/>
  <c r="E266" i="2"/>
  <c r="D266" i="2"/>
  <c r="C266" i="2"/>
  <c r="B266" i="2"/>
  <c r="A266" i="2"/>
  <c r="H265" i="2"/>
  <c r="G265" i="2"/>
  <c r="E265" i="2"/>
  <c r="D265" i="2"/>
  <c r="C265" i="2"/>
  <c r="B265" i="2"/>
  <c r="A265" i="2"/>
  <c r="H264" i="2"/>
  <c r="G264" i="2"/>
  <c r="E264" i="2"/>
  <c r="D264" i="2"/>
  <c r="C264" i="2"/>
  <c r="B264" i="2"/>
  <c r="A264" i="2"/>
  <c r="H263" i="2"/>
  <c r="G263" i="2"/>
  <c r="E263" i="2"/>
  <c r="D263" i="2"/>
  <c r="C263" i="2"/>
  <c r="B263" i="2"/>
  <c r="A263" i="2"/>
  <c r="H262" i="2"/>
  <c r="G262" i="2"/>
  <c r="E262" i="2"/>
  <c r="D262" i="2"/>
  <c r="C262" i="2"/>
  <c r="B262" i="2"/>
  <c r="A262" i="2"/>
  <c r="H261" i="2"/>
  <c r="G261" i="2"/>
  <c r="E261" i="2"/>
  <c r="D261" i="2"/>
  <c r="C261" i="2"/>
  <c r="B261" i="2"/>
  <c r="A261" i="2"/>
  <c r="H260" i="2"/>
  <c r="G260" i="2"/>
  <c r="E260" i="2"/>
  <c r="D260" i="2"/>
  <c r="C260" i="2"/>
  <c r="B260" i="2"/>
  <c r="A260" i="2"/>
  <c r="H259" i="2"/>
  <c r="G259" i="2"/>
  <c r="E259" i="2"/>
  <c r="D259" i="2"/>
  <c r="C259" i="2"/>
  <c r="B259" i="2"/>
  <c r="A259" i="2"/>
  <c r="H258" i="2"/>
  <c r="G258" i="2"/>
  <c r="E258" i="2"/>
  <c r="D258" i="2"/>
  <c r="C258" i="2"/>
  <c r="B258" i="2"/>
  <c r="A258" i="2"/>
  <c r="H257" i="2"/>
  <c r="G257" i="2"/>
  <c r="E257" i="2"/>
  <c r="D257" i="2"/>
  <c r="C257" i="2"/>
  <c r="B257" i="2"/>
  <c r="A257" i="2"/>
  <c r="H256" i="2"/>
  <c r="G256" i="2"/>
  <c r="E256" i="2"/>
  <c r="D256" i="2"/>
  <c r="C256" i="2"/>
  <c r="B256" i="2"/>
  <c r="A256" i="2"/>
  <c r="H255" i="2"/>
  <c r="G255" i="2"/>
  <c r="E255" i="2"/>
  <c r="D255" i="2"/>
  <c r="C255" i="2"/>
  <c r="B255" i="2"/>
  <c r="A255" i="2"/>
  <c r="H254" i="2"/>
  <c r="G254" i="2"/>
  <c r="E254" i="2"/>
  <c r="D254" i="2"/>
  <c r="C254" i="2"/>
  <c r="B254" i="2"/>
  <c r="A254" i="2"/>
  <c r="H253" i="2"/>
  <c r="G253" i="2"/>
  <c r="E253" i="2"/>
  <c r="D253" i="2"/>
  <c r="C253" i="2"/>
  <c r="B253" i="2"/>
  <c r="A253" i="2"/>
  <c r="H252" i="2"/>
  <c r="G252" i="2"/>
  <c r="E252" i="2"/>
  <c r="D252" i="2"/>
  <c r="C252" i="2"/>
  <c r="B252" i="2"/>
  <c r="A252" i="2"/>
  <c r="H251" i="2"/>
  <c r="G251" i="2"/>
  <c r="E251" i="2"/>
  <c r="D251" i="2"/>
  <c r="C251" i="2"/>
  <c r="B251" i="2"/>
  <c r="A251" i="2"/>
  <c r="H250" i="2"/>
  <c r="G250" i="2"/>
  <c r="E250" i="2"/>
  <c r="D250" i="2"/>
  <c r="C250" i="2"/>
  <c r="B250" i="2"/>
  <c r="A250" i="2"/>
  <c r="H249" i="2"/>
  <c r="G249" i="2"/>
  <c r="E249" i="2"/>
  <c r="D249" i="2"/>
  <c r="C249" i="2"/>
  <c r="B249" i="2"/>
  <c r="A249" i="2"/>
  <c r="H248" i="2"/>
  <c r="G248" i="2"/>
  <c r="E248" i="2"/>
  <c r="D248" i="2"/>
  <c r="C248" i="2"/>
  <c r="B248" i="2"/>
  <c r="A248" i="2"/>
  <c r="H247" i="2"/>
  <c r="G247" i="2"/>
  <c r="E247" i="2"/>
  <c r="D247" i="2"/>
  <c r="C247" i="2"/>
  <c r="B247" i="2"/>
  <c r="A247" i="2"/>
  <c r="G246" i="2"/>
  <c r="F246" i="2"/>
  <c r="D246" i="2"/>
  <c r="C246" i="2"/>
  <c r="B246" i="2"/>
  <c r="A246" i="2"/>
  <c r="H245" i="2"/>
  <c r="G245" i="2"/>
  <c r="F245" i="2"/>
  <c r="D245" i="2"/>
  <c r="C245" i="2"/>
  <c r="B245" i="2"/>
  <c r="A245" i="2"/>
  <c r="H244" i="2"/>
  <c r="G244" i="2"/>
  <c r="F244" i="2"/>
  <c r="D244" i="2"/>
  <c r="C244" i="2"/>
  <c r="B244" i="2"/>
  <c r="A244" i="2"/>
  <c r="H243" i="2"/>
  <c r="G243" i="2"/>
  <c r="F243" i="2"/>
  <c r="D243" i="2"/>
  <c r="C243" i="2"/>
  <c r="B243" i="2"/>
  <c r="A243" i="2"/>
  <c r="G242" i="2"/>
  <c r="F242" i="2"/>
  <c r="D242" i="2"/>
  <c r="C242" i="2"/>
  <c r="B242" i="2"/>
  <c r="A242" i="2"/>
  <c r="H241" i="2"/>
  <c r="G241" i="2"/>
  <c r="F241" i="2"/>
  <c r="D241" i="2"/>
  <c r="C241" i="2"/>
  <c r="B241" i="2"/>
  <c r="A241" i="2"/>
  <c r="H240" i="2"/>
  <c r="G240" i="2"/>
  <c r="F240" i="2"/>
  <c r="D240" i="2"/>
  <c r="C240" i="2"/>
  <c r="B240" i="2"/>
  <c r="A240" i="2"/>
  <c r="H239" i="2"/>
  <c r="G239" i="2"/>
  <c r="F239" i="2"/>
  <c r="D239" i="2"/>
  <c r="C239" i="2"/>
  <c r="B239" i="2"/>
  <c r="A239" i="2"/>
  <c r="H238" i="2"/>
  <c r="G238" i="2"/>
  <c r="F238" i="2"/>
  <c r="D238" i="2"/>
  <c r="C238" i="2"/>
  <c r="B238" i="2"/>
  <c r="A238" i="2"/>
  <c r="H237" i="2"/>
  <c r="G237" i="2"/>
  <c r="F237" i="2"/>
  <c r="D237" i="2"/>
  <c r="C237" i="2"/>
  <c r="B237" i="2"/>
  <c r="A237" i="2"/>
  <c r="G236" i="2"/>
  <c r="F236" i="2"/>
  <c r="D236" i="2"/>
  <c r="C236" i="2"/>
  <c r="B236" i="2"/>
  <c r="A236" i="2"/>
  <c r="H235" i="2"/>
  <c r="G235" i="2"/>
  <c r="F235" i="2"/>
  <c r="D235" i="2"/>
  <c r="C235" i="2"/>
  <c r="B235" i="2"/>
  <c r="A235" i="2"/>
  <c r="G234" i="2"/>
  <c r="F234" i="2"/>
  <c r="D234" i="2"/>
  <c r="C234" i="2"/>
  <c r="B234" i="2"/>
  <c r="A234" i="2"/>
  <c r="H233" i="2"/>
  <c r="G233" i="2"/>
  <c r="F233" i="2"/>
  <c r="D233" i="2"/>
  <c r="C233" i="2"/>
  <c r="B233" i="2"/>
  <c r="A233" i="2"/>
  <c r="H232" i="2"/>
  <c r="G232" i="2"/>
  <c r="F232" i="2"/>
  <c r="D232" i="2"/>
  <c r="C232" i="2"/>
  <c r="B232" i="2"/>
  <c r="A232" i="2"/>
  <c r="H231" i="2"/>
  <c r="G231" i="2"/>
  <c r="F231" i="2"/>
  <c r="D231" i="2"/>
  <c r="C231" i="2"/>
  <c r="B231" i="2"/>
  <c r="A231" i="2"/>
  <c r="H230" i="2"/>
  <c r="G230" i="2"/>
  <c r="F230" i="2"/>
  <c r="D230" i="2"/>
  <c r="C230" i="2"/>
  <c r="B230" i="2"/>
  <c r="A230" i="2"/>
  <c r="H229" i="2"/>
  <c r="G229" i="2"/>
  <c r="F229" i="2"/>
  <c r="D229" i="2"/>
  <c r="C229" i="2"/>
  <c r="B229" i="2"/>
  <c r="A229" i="2"/>
  <c r="H228" i="2"/>
  <c r="G228" i="2"/>
  <c r="F228" i="2"/>
  <c r="D228" i="2"/>
  <c r="C228" i="2"/>
  <c r="B228" i="2"/>
  <c r="A228" i="2"/>
  <c r="H227" i="2"/>
  <c r="G227" i="2"/>
  <c r="F227" i="2"/>
  <c r="D227" i="2"/>
  <c r="C227" i="2"/>
  <c r="B227" i="2"/>
  <c r="A227" i="2"/>
  <c r="H226" i="2"/>
  <c r="G226" i="2"/>
  <c r="F226" i="2"/>
  <c r="D226" i="2"/>
  <c r="C226" i="2"/>
  <c r="B226" i="2"/>
  <c r="A226" i="2"/>
  <c r="H225" i="2"/>
  <c r="G225" i="2"/>
  <c r="F225" i="2"/>
  <c r="D225" i="2"/>
  <c r="C225" i="2"/>
  <c r="B225" i="2"/>
  <c r="A225" i="2"/>
  <c r="H224" i="2"/>
  <c r="G224" i="2"/>
  <c r="F224" i="2"/>
  <c r="D224" i="2"/>
  <c r="C224" i="2"/>
  <c r="B224" i="2"/>
  <c r="A224" i="2"/>
  <c r="H223" i="2"/>
  <c r="G223" i="2"/>
  <c r="F223" i="2"/>
  <c r="D223" i="2"/>
  <c r="C223" i="2"/>
  <c r="B223" i="2"/>
  <c r="A223" i="2"/>
  <c r="H222" i="2"/>
  <c r="G222" i="2"/>
  <c r="F222" i="2"/>
  <c r="D222" i="2"/>
  <c r="C222" i="2"/>
  <c r="B222" i="2"/>
  <c r="A222" i="2"/>
  <c r="H221" i="2"/>
  <c r="G221" i="2"/>
  <c r="F221" i="2"/>
  <c r="D221" i="2"/>
  <c r="C221" i="2"/>
  <c r="B221" i="2"/>
  <c r="A221" i="2"/>
  <c r="H220" i="2"/>
  <c r="G220" i="2"/>
  <c r="F220" i="2"/>
  <c r="D220" i="2"/>
  <c r="C220" i="2"/>
  <c r="B220" i="2"/>
  <c r="A220" i="2"/>
  <c r="H219" i="2"/>
  <c r="G219" i="2"/>
  <c r="F219" i="2"/>
  <c r="D219" i="2"/>
  <c r="C219" i="2"/>
  <c r="B219" i="2"/>
  <c r="A219" i="2"/>
  <c r="H218" i="2"/>
  <c r="G218" i="2"/>
  <c r="F218" i="2"/>
  <c r="D218" i="2"/>
  <c r="C218" i="2"/>
  <c r="B218" i="2"/>
  <c r="A218" i="2"/>
  <c r="H217" i="2"/>
  <c r="G217" i="2"/>
  <c r="F217" i="2"/>
  <c r="D217" i="2"/>
  <c r="C217" i="2"/>
  <c r="B217" i="2"/>
  <c r="A217" i="2"/>
  <c r="H216" i="2"/>
  <c r="G216" i="2"/>
  <c r="F216" i="2"/>
  <c r="D216" i="2"/>
  <c r="C216" i="2"/>
  <c r="B216" i="2"/>
  <c r="A216" i="2"/>
  <c r="H215" i="2"/>
  <c r="G215" i="2"/>
  <c r="F215" i="2"/>
  <c r="D215" i="2"/>
  <c r="C215" i="2"/>
  <c r="B215" i="2"/>
  <c r="A215" i="2"/>
  <c r="H214" i="2"/>
  <c r="G214" i="2"/>
  <c r="F214" i="2"/>
  <c r="D214" i="2"/>
  <c r="C214" i="2"/>
  <c r="B214" i="2"/>
  <c r="A214" i="2"/>
  <c r="H213" i="2"/>
  <c r="G213" i="2"/>
  <c r="F213" i="2"/>
  <c r="D213" i="2"/>
  <c r="C213" i="2"/>
  <c r="B213" i="2"/>
  <c r="A213" i="2"/>
  <c r="H212" i="2"/>
  <c r="G212" i="2"/>
  <c r="F212" i="2"/>
  <c r="D212" i="2"/>
  <c r="C212" i="2"/>
  <c r="B212" i="2"/>
  <c r="A212" i="2"/>
  <c r="H211" i="2"/>
  <c r="G211" i="2"/>
  <c r="F211" i="2"/>
  <c r="D211" i="2"/>
  <c r="C211" i="2"/>
  <c r="B211" i="2"/>
  <c r="A211" i="2"/>
  <c r="H210" i="2"/>
  <c r="G210" i="2"/>
  <c r="F210" i="2"/>
  <c r="D210" i="2"/>
  <c r="C210" i="2"/>
  <c r="B210" i="2"/>
  <c r="A210" i="2"/>
  <c r="H209" i="2"/>
  <c r="G209" i="2"/>
  <c r="F209" i="2"/>
  <c r="D209" i="2"/>
  <c r="C209" i="2"/>
  <c r="B209" i="2"/>
  <c r="A209" i="2"/>
  <c r="H208" i="2"/>
  <c r="G208" i="2"/>
  <c r="F208" i="2"/>
  <c r="D208" i="2"/>
  <c r="C208" i="2"/>
  <c r="B208" i="2"/>
  <c r="A208" i="2"/>
  <c r="H207" i="2"/>
  <c r="G207" i="2"/>
  <c r="F207" i="2"/>
  <c r="D207" i="2"/>
  <c r="C207" i="2"/>
  <c r="B207" i="2"/>
  <c r="A207" i="2"/>
  <c r="H206" i="2"/>
  <c r="G206" i="2"/>
  <c r="F206" i="2"/>
  <c r="D206" i="2"/>
  <c r="C206" i="2"/>
  <c r="B206" i="2"/>
  <c r="A206" i="2"/>
  <c r="H205" i="2"/>
  <c r="G205" i="2"/>
  <c r="F205" i="2"/>
  <c r="D205" i="2"/>
  <c r="C205" i="2"/>
  <c r="B205" i="2"/>
  <c r="A205" i="2"/>
  <c r="H204" i="2"/>
  <c r="G204" i="2"/>
  <c r="F204" i="2"/>
  <c r="D204" i="2"/>
  <c r="C204" i="2"/>
  <c r="B204" i="2"/>
  <c r="A204" i="2"/>
  <c r="H203" i="2"/>
  <c r="G203" i="2"/>
  <c r="F203" i="2"/>
  <c r="D203" i="2"/>
  <c r="C203" i="2"/>
  <c r="B203" i="2"/>
  <c r="A203" i="2"/>
  <c r="H202" i="2"/>
  <c r="G202" i="2"/>
  <c r="F202" i="2"/>
  <c r="D202" i="2"/>
  <c r="C202" i="2"/>
  <c r="B202" i="2"/>
  <c r="A202" i="2"/>
  <c r="H201" i="2"/>
  <c r="G201" i="2"/>
  <c r="F201" i="2"/>
  <c r="D201" i="2"/>
  <c r="C201" i="2"/>
  <c r="B201" i="2"/>
  <c r="A201" i="2"/>
  <c r="H200" i="2"/>
  <c r="G200" i="2"/>
  <c r="F200" i="2"/>
  <c r="D200" i="2"/>
  <c r="C200" i="2"/>
  <c r="B200" i="2"/>
  <c r="A200" i="2"/>
  <c r="H199" i="2"/>
  <c r="G199" i="2"/>
  <c r="F199" i="2"/>
  <c r="D199" i="2"/>
  <c r="C199" i="2"/>
  <c r="B199" i="2"/>
  <c r="A199" i="2"/>
  <c r="H198" i="2"/>
  <c r="G198" i="2"/>
  <c r="F198" i="2"/>
  <c r="D198" i="2"/>
  <c r="C198" i="2"/>
  <c r="B198" i="2"/>
  <c r="A198" i="2"/>
  <c r="H197" i="2"/>
  <c r="G197" i="2"/>
  <c r="F197" i="2"/>
  <c r="D197" i="2"/>
  <c r="C197" i="2"/>
  <c r="B197" i="2"/>
  <c r="A197" i="2"/>
  <c r="H196" i="2"/>
  <c r="G196" i="2"/>
  <c r="F196" i="2"/>
  <c r="D196" i="2"/>
  <c r="C196" i="2"/>
  <c r="B196" i="2"/>
  <c r="A196" i="2"/>
  <c r="H195" i="2"/>
  <c r="G195" i="2"/>
  <c r="F195" i="2"/>
  <c r="D195" i="2"/>
  <c r="C195" i="2"/>
  <c r="B195" i="2"/>
  <c r="A195" i="2"/>
  <c r="H194" i="2"/>
  <c r="G194" i="2"/>
  <c r="F194" i="2"/>
  <c r="D194" i="2"/>
  <c r="C194" i="2"/>
  <c r="B194" i="2"/>
  <c r="A194" i="2"/>
  <c r="H193" i="2"/>
  <c r="G193" i="2"/>
  <c r="F193" i="2"/>
  <c r="D193" i="2"/>
  <c r="C193" i="2"/>
  <c r="B193" i="2"/>
  <c r="A193" i="2"/>
  <c r="H192" i="2"/>
  <c r="G192" i="2"/>
  <c r="F192" i="2"/>
  <c r="D192" i="2"/>
  <c r="C192" i="2"/>
  <c r="B192" i="2"/>
  <c r="A192" i="2"/>
  <c r="H191" i="2"/>
  <c r="G191" i="2"/>
  <c r="F191" i="2"/>
  <c r="D191" i="2"/>
  <c r="C191" i="2"/>
  <c r="B191" i="2"/>
  <c r="A191" i="2"/>
  <c r="H190" i="2"/>
  <c r="G190" i="2"/>
  <c r="F190" i="2"/>
  <c r="D190" i="2"/>
  <c r="C190" i="2"/>
  <c r="B190" i="2"/>
  <c r="A190" i="2"/>
  <c r="H189" i="2"/>
  <c r="G189" i="2"/>
  <c r="F189" i="2"/>
  <c r="D189" i="2"/>
  <c r="C189" i="2"/>
  <c r="B189" i="2"/>
  <c r="A189" i="2"/>
  <c r="H188" i="2"/>
  <c r="G188" i="2"/>
  <c r="F188" i="2"/>
  <c r="D188" i="2"/>
  <c r="C188" i="2"/>
  <c r="B188" i="2"/>
  <c r="A188" i="2"/>
  <c r="H187" i="2"/>
  <c r="G187" i="2"/>
  <c r="F187" i="2"/>
  <c r="D187" i="2"/>
  <c r="C187" i="2"/>
  <c r="B187" i="2"/>
  <c r="A187" i="2"/>
  <c r="H186" i="2"/>
  <c r="G186" i="2"/>
  <c r="F186" i="2"/>
  <c r="D186" i="2"/>
  <c r="C186" i="2"/>
  <c r="B186" i="2"/>
  <c r="A186" i="2"/>
  <c r="H185" i="2"/>
  <c r="G185" i="2"/>
  <c r="F185" i="2"/>
  <c r="D185" i="2"/>
  <c r="C185" i="2"/>
  <c r="B185" i="2"/>
  <c r="A185" i="2"/>
  <c r="H184" i="2"/>
  <c r="G184" i="2"/>
  <c r="F184" i="2"/>
  <c r="D184" i="2"/>
  <c r="C184" i="2"/>
  <c r="B184" i="2"/>
  <c r="A184" i="2"/>
  <c r="H183" i="2"/>
  <c r="G183" i="2"/>
  <c r="F183" i="2"/>
  <c r="D183" i="2"/>
  <c r="C183" i="2"/>
  <c r="B183" i="2"/>
  <c r="A183" i="2"/>
  <c r="H182" i="2"/>
  <c r="G182" i="2"/>
  <c r="F182" i="2"/>
  <c r="D182" i="2"/>
  <c r="C182" i="2"/>
  <c r="B182" i="2"/>
  <c r="A182" i="2"/>
  <c r="H181" i="2"/>
  <c r="G181" i="2"/>
  <c r="F181" i="2"/>
  <c r="D181" i="2"/>
  <c r="C181" i="2"/>
  <c r="B181" i="2"/>
  <c r="A181" i="2"/>
  <c r="H180" i="2"/>
  <c r="G180" i="2"/>
  <c r="F180" i="2"/>
  <c r="D180" i="2"/>
  <c r="C180" i="2"/>
  <c r="B180" i="2"/>
  <c r="A180" i="2"/>
  <c r="H179" i="2"/>
  <c r="G179" i="2"/>
  <c r="F179" i="2"/>
  <c r="D179" i="2"/>
  <c r="C179" i="2"/>
  <c r="B179" i="2"/>
  <c r="A179" i="2"/>
  <c r="H178" i="2"/>
  <c r="G178" i="2"/>
  <c r="F178" i="2"/>
  <c r="D178" i="2"/>
  <c r="C178" i="2"/>
  <c r="B178" i="2"/>
  <c r="A178" i="2"/>
  <c r="H177" i="2"/>
  <c r="G177" i="2"/>
  <c r="F177" i="2"/>
  <c r="D177" i="2"/>
  <c r="C177" i="2"/>
  <c r="B177" i="2"/>
  <c r="A177" i="2"/>
  <c r="H176" i="2"/>
  <c r="G176" i="2"/>
  <c r="F176" i="2"/>
  <c r="D176" i="2"/>
  <c r="C176" i="2"/>
  <c r="B176" i="2"/>
  <c r="A176" i="2"/>
  <c r="H175" i="2"/>
  <c r="G175" i="2"/>
  <c r="F175" i="2"/>
  <c r="D175" i="2"/>
  <c r="C175" i="2"/>
  <c r="B175" i="2"/>
  <c r="A175" i="2"/>
  <c r="H174" i="2"/>
  <c r="G174" i="2"/>
  <c r="F174" i="2"/>
  <c r="D174" i="2"/>
  <c r="C174" i="2"/>
  <c r="B174" i="2"/>
  <c r="A174" i="2"/>
  <c r="H173" i="2"/>
  <c r="G173" i="2"/>
  <c r="F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E145" i="2"/>
  <c r="D145" i="2"/>
  <c r="C145" i="2"/>
  <c r="B145" i="2"/>
  <c r="A145" i="2"/>
  <c r="H144" i="2"/>
  <c r="G144" i="2"/>
  <c r="E144" i="2"/>
  <c r="D144" i="2"/>
  <c r="C144" i="2"/>
  <c r="B144" i="2"/>
  <c r="A144" i="2"/>
  <c r="H143" i="2"/>
  <c r="G143" i="2"/>
  <c r="E143" i="2"/>
  <c r="D143" i="2"/>
  <c r="C143" i="2"/>
  <c r="B143" i="2"/>
  <c r="A143" i="2"/>
  <c r="H142" i="2"/>
  <c r="G142" i="2"/>
  <c r="E142" i="2"/>
  <c r="D142" i="2"/>
  <c r="C142" i="2"/>
  <c r="B142" i="2"/>
  <c r="A142" i="2"/>
  <c r="H141" i="2"/>
  <c r="G141" i="2"/>
  <c r="E141" i="2"/>
  <c r="D141" i="2"/>
  <c r="C141" i="2"/>
  <c r="B141" i="2"/>
  <c r="A141" i="2"/>
  <c r="H140" i="2"/>
  <c r="G140" i="2"/>
  <c r="E140" i="2"/>
  <c r="D140" i="2"/>
  <c r="C140" i="2"/>
  <c r="B140" i="2"/>
  <c r="A140" i="2"/>
  <c r="H139" i="2"/>
  <c r="G139" i="2"/>
  <c r="E139" i="2"/>
  <c r="D139" i="2"/>
  <c r="C139" i="2"/>
  <c r="B139" i="2"/>
  <c r="A139" i="2"/>
  <c r="H138" i="2"/>
  <c r="G138" i="2"/>
  <c r="E138" i="2"/>
  <c r="D138" i="2"/>
  <c r="C138" i="2"/>
  <c r="B138" i="2"/>
  <c r="A138" i="2"/>
  <c r="H137" i="2"/>
  <c r="G137" i="2"/>
  <c r="E137" i="2"/>
  <c r="D137" i="2"/>
  <c r="C137" i="2"/>
  <c r="B137" i="2"/>
  <c r="A137" i="2"/>
  <c r="H136" i="2"/>
  <c r="G136" i="2"/>
  <c r="E136" i="2"/>
  <c r="D136" i="2"/>
  <c r="C136" i="2"/>
  <c r="B136" i="2"/>
  <c r="A136" i="2"/>
  <c r="H135" i="2"/>
  <c r="G135" i="2"/>
  <c r="E135" i="2"/>
  <c r="D135" i="2"/>
  <c r="C135" i="2"/>
  <c r="B135" i="2"/>
  <c r="A135" i="2"/>
  <c r="H134" i="2"/>
  <c r="G134" i="2"/>
  <c r="E134" i="2"/>
  <c r="D134" i="2"/>
  <c r="C134" i="2"/>
  <c r="B134" i="2"/>
  <c r="A134" i="2"/>
  <c r="H133" i="2"/>
  <c r="G133" i="2"/>
  <c r="E133" i="2"/>
  <c r="D133" i="2"/>
  <c r="C133" i="2"/>
  <c r="B133" i="2"/>
  <c r="A133" i="2"/>
  <c r="H132" i="2"/>
  <c r="G132" i="2"/>
  <c r="E132" i="2"/>
  <c r="D132" i="2"/>
  <c r="C132" i="2"/>
  <c r="B132" i="2"/>
  <c r="A132" i="2"/>
  <c r="H131" i="2"/>
  <c r="G131" i="2"/>
  <c r="E131" i="2"/>
  <c r="D131" i="2"/>
  <c r="C131" i="2"/>
  <c r="B131" i="2"/>
  <c r="A131" i="2"/>
  <c r="H130" i="2"/>
  <c r="G130" i="2"/>
  <c r="E130" i="2"/>
  <c r="D130" i="2"/>
  <c r="C130" i="2"/>
  <c r="B130" i="2"/>
  <c r="A130" i="2"/>
  <c r="H129" i="2"/>
  <c r="G129" i="2"/>
  <c r="E129" i="2"/>
  <c r="D129" i="2"/>
  <c r="C129" i="2"/>
  <c r="B129" i="2"/>
  <c r="A129" i="2"/>
  <c r="H128" i="2"/>
  <c r="G128" i="2"/>
  <c r="E128" i="2"/>
  <c r="D128" i="2"/>
  <c r="C128" i="2"/>
  <c r="B128" i="2"/>
  <c r="A128" i="2"/>
  <c r="H127" i="2"/>
  <c r="G127" i="2"/>
  <c r="E127" i="2"/>
  <c r="D127" i="2"/>
  <c r="C127" i="2"/>
  <c r="B127" i="2"/>
  <c r="A127" i="2"/>
  <c r="H126" i="2"/>
  <c r="G126" i="2"/>
  <c r="E126" i="2"/>
  <c r="D126" i="2"/>
  <c r="C126" i="2"/>
  <c r="B126" i="2"/>
  <c r="A126" i="2"/>
  <c r="H125" i="2"/>
  <c r="G125" i="2"/>
  <c r="E125" i="2"/>
  <c r="D125" i="2"/>
  <c r="C125" i="2"/>
  <c r="B125" i="2"/>
  <c r="A125" i="2"/>
  <c r="H124" i="2"/>
  <c r="G124" i="2"/>
  <c r="E124" i="2"/>
  <c r="D124" i="2"/>
  <c r="C124" i="2"/>
  <c r="B124" i="2"/>
  <c r="A124" i="2"/>
  <c r="H123" i="2"/>
  <c r="G123" i="2"/>
  <c r="E123" i="2"/>
  <c r="D123" i="2"/>
  <c r="C123" i="2"/>
  <c r="B123" i="2"/>
  <c r="A123" i="2"/>
  <c r="H122" i="2"/>
  <c r="G122" i="2"/>
  <c r="E122" i="2"/>
  <c r="D122" i="2"/>
  <c r="C122" i="2"/>
  <c r="B122" i="2"/>
  <c r="A122" i="2"/>
  <c r="H121" i="2"/>
  <c r="G121" i="2"/>
  <c r="E121" i="2"/>
  <c r="D121" i="2"/>
  <c r="C121" i="2"/>
  <c r="B121" i="2"/>
  <c r="A121" i="2"/>
  <c r="H120" i="2"/>
  <c r="G120" i="2"/>
  <c r="E120" i="2"/>
  <c r="D120" i="2"/>
  <c r="C120" i="2"/>
  <c r="B120" i="2"/>
  <c r="A120" i="2"/>
  <c r="H119" i="2"/>
  <c r="G119" i="2"/>
  <c r="E119" i="2"/>
  <c r="D119" i="2"/>
  <c r="C119" i="2"/>
  <c r="B119" i="2"/>
  <c r="A119" i="2"/>
  <c r="H118" i="2"/>
  <c r="G118" i="2"/>
  <c r="E118" i="2"/>
  <c r="D118" i="2"/>
  <c r="C118" i="2"/>
  <c r="B118" i="2"/>
  <c r="A118" i="2"/>
  <c r="H117" i="2"/>
  <c r="G117" i="2"/>
  <c r="E117" i="2"/>
  <c r="D117" i="2"/>
  <c r="C117" i="2"/>
  <c r="B117" i="2"/>
  <c r="A117" i="2"/>
  <c r="H116" i="2"/>
  <c r="G116" i="2"/>
  <c r="E116" i="2"/>
  <c r="D116" i="2"/>
  <c r="C116" i="2"/>
  <c r="B116" i="2"/>
  <c r="A116" i="2"/>
  <c r="H115" i="2"/>
  <c r="G115" i="2"/>
  <c r="E115" i="2"/>
  <c r="D115" i="2"/>
  <c r="C115" i="2"/>
  <c r="B115" i="2"/>
  <c r="A115" i="2"/>
  <c r="H114" i="2"/>
  <c r="G114" i="2"/>
  <c r="E114" i="2"/>
  <c r="D114" i="2"/>
  <c r="C114" i="2"/>
  <c r="B114" i="2"/>
  <c r="A114" i="2"/>
  <c r="H113" i="2"/>
  <c r="G113" i="2"/>
  <c r="E113" i="2"/>
  <c r="D113" i="2"/>
  <c r="C113" i="2"/>
  <c r="B113" i="2"/>
  <c r="A113" i="2"/>
  <c r="H112" i="2"/>
  <c r="G112" i="2"/>
  <c r="E112" i="2"/>
  <c r="D112" i="2"/>
  <c r="C112" i="2"/>
  <c r="B112" i="2"/>
  <c r="A112" i="2"/>
  <c r="H111" i="2"/>
  <c r="G111" i="2"/>
  <c r="E111" i="2"/>
  <c r="D111" i="2"/>
  <c r="C111" i="2"/>
  <c r="B111" i="2"/>
  <c r="A111" i="2"/>
  <c r="H110" i="2"/>
  <c r="G110" i="2"/>
  <c r="E110" i="2"/>
  <c r="D110" i="2"/>
  <c r="C110" i="2"/>
  <c r="B110" i="2"/>
  <c r="A110" i="2"/>
  <c r="H109" i="2"/>
  <c r="G109" i="2"/>
  <c r="E109" i="2"/>
  <c r="D109" i="2"/>
  <c r="C109" i="2"/>
  <c r="B109" i="2"/>
  <c r="A109" i="2"/>
  <c r="H108" i="2"/>
  <c r="G108" i="2"/>
  <c r="E108" i="2"/>
  <c r="D108" i="2"/>
  <c r="C108" i="2"/>
  <c r="B108" i="2"/>
  <c r="A108" i="2"/>
  <c r="H107" i="2"/>
  <c r="G107" i="2"/>
  <c r="E107" i="2"/>
  <c r="D107" i="2"/>
  <c r="C107" i="2"/>
  <c r="B107" i="2"/>
  <c r="A107" i="2"/>
  <c r="H106" i="2"/>
  <c r="G106" i="2"/>
  <c r="E106" i="2"/>
  <c r="D106" i="2"/>
  <c r="C106" i="2"/>
  <c r="B106" i="2"/>
  <c r="A106" i="2"/>
  <c r="H105" i="2"/>
  <c r="G105" i="2"/>
  <c r="E105" i="2"/>
  <c r="D105" i="2"/>
  <c r="C105" i="2"/>
  <c r="B105" i="2"/>
  <c r="A105" i="2"/>
  <c r="H104" i="2"/>
  <c r="G104" i="2"/>
  <c r="E104" i="2"/>
  <c r="D104" i="2"/>
  <c r="C104" i="2"/>
  <c r="B104" i="2"/>
  <c r="A104" i="2"/>
  <c r="H103" i="2"/>
  <c r="G103" i="2"/>
  <c r="E103" i="2"/>
  <c r="D103" i="2"/>
  <c r="C103" i="2"/>
  <c r="B103" i="2"/>
  <c r="A103" i="2"/>
  <c r="H102" i="2"/>
  <c r="G102" i="2"/>
  <c r="E102" i="2"/>
  <c r="D102" i="2"/>
  <c r="C102" i="2"/>
  <c r="B102" i="2"/>
  <c r="A102" i="2"/>
  <c r="H101" i="2"/>
  <c r="G101" i="2"/>
  <c r="E101" i="2"/>
  <c r="D101" i="2"/>
  <c r="C101" i="2"/>
  <c r="B101" i="2"/>
  <c r="A101" i="2"/>
  <c r="H100" i="2"/>
  <c r="G100" i="2"/>
  <c r="E100" i="2"/>
  <c r="D100" i="2"/>
  <c r="C100" i="2"/>
  <c r="B100" i="2"/>
  <c r="A100" i="2"/>
  <c r="H99" i="2"/>
  <c r="G99" i="2"/>
  <c r="E99" i="2"/>
  <c r="D99" i="2"/>
  <c r="C99" i="2"/>
  <c r="B99" i="2"/>
  <c r="A99" i="2"/>
  <c r="H98" i="2"/>
  <c r="G98" i="2"/>
  <c r="E98" i="2"/>
  <c r="D98" i="2"/>
  <c r="C98" i="2"/>
  <c r="B98" i="2"/>
  <c r="A98" i="2"/>
  <c r="H97" i="2"/>
  <c r="G97" i="2"/>
  <c r="E97" i="2"/>
  <c r="D97" i="2"/>
  <c r="C97" i="2"/>
  <c r="B97" i="2"/>
  <c r="A97" i="2"/>
  <c r="H96" i="2"/>
  <c r="G96" i="2"/>
  <c r="E96" i="2"/>
  <c r="D96" i="2"/>
  <c r="C96" i="2"/>
  <c r="B96" i="2"/>
  <c r="A96" i="2"/>
  <c r="H95" i="2"/>
  <c r="G95" i="2"/>
  <c r="E95" i="2"/>
  <c r="D95" i="2"/>
  <c r="C95" i="2"/>
  <c r="B95" i="2"/>
  <c r="A95" i="2"/>
  <c r="H94" i="2"/>
  <c r="G94" i="2"/>
  <c r="E94" i="2"/>
  <c r="D94" i="2"/>
  <c r="C94" i="2"/>
  <c r="B94" i="2"/>
  <c r="A94" i="2"/>
  <c r="H93" i="2"/>
  <c r="G93" i="2"/>
  <c r="E93" i="2"/>
  <c r="D93" i="2"/>
  <c r="C93" i="2"/>
  <c r="B93" i="2"/>
  <c r="A93" i="2"/>
  <c r="H92" i="2"/>
  <c r="G92" i="2"/>
  <c r="E92" i="2"/>
  <c r="D92" i="2"/>
  <c r="C92" i="2"/>
  <c r="B92" i="2"/>
  <c r="A92" i="2"/>
  <c r="H91" i="2"/>
  <c r="G91" i="2"/>
  <c r="E91" i="2"/>
  <c r="D91" i="2"/>
  <c r="C91" i="2"/>
  <c r="B91" i="2"/>
  <c r="A91" i="2"/>
  <c r="H90" i="2"/>
  <c r="G90" i="2"/>
  <c r="E90" i="2"/>
  <c r="D90" i="2"/>
  <c r="C90" i="2"/>
  <c r="B90" i="2"/>
  <c r="A90" i="2"/>
  <c r="H89" i="2"/>
  <c r="G89" i="2"/>
  <c r="E89" i="2"/>
  <c r="D89" i="2"/>
  <c r="C89" i="2"/>
  <c r="B89" i="2"/>
  <c r="A89" i="2"/>
  <c r="H88" i="2"/>
  <c r="G88" i="2"/>
  <c r="E88" i="2"/>
  <c r="D88" i="2"/>
  <c r="C88" i="2"/>
  <c r="B88" i="2"/>
  <c r="A88" i="2"/>
  <c r="H87" i="2"/>
  <c r="G87" i="2"/>
  <c r="E87" i="2"/>
  <c r="D87" i="2"/>
  <c r="C87" i="2"/>
  <c r="B87" i="2"/>
  <c r="A87" i="2"/>
  <c r="H86" i="2"/>
  <c r="G86" i="2"/>
  <c r="E86" i="2"/>
  <c r="D86" i="2"/>
  <c r="C86" i="2"/>
  <c r="B86" i="2"/>
  <c r="A86" i="2"/>
  <c r="H85" i="2"/>
  <c r="G85" i="2"/>
  <c r="E85" i="2"/>
  <c r="D85" i="2"/>
  <c r="C85" i="2"/>
  <c r="B85" i="2"/>
  <c r="A85" i="2"/>
  <c r="H84" i="2"/>
  <c r="G84" i="2"/>
  <c r="E84" i="2"/>
  <c r="D84" i="2"/>
  <c r="C84" i="2"/>
  <c r="B84" i="2"/>
  <c r="A84" i="2"/>
  <c r="H83" i="2"/>
  <c r="G83" i="2"/>
  <c r="E83" i="2"/>
  <c r="D83" i="2"/>
  <c r="C83" i="2"/>
  <c r="B83" i="2"/>
  <c r="A83" i="2"/>
  <c r="H82" i="2"/>
  <c r="G82" i="2"/>
  <c r="E82" i="2"/>
  <c r="D82" i="2"/>
  <c r="C82" i="2"/>
  <c r="B82" i="2"/>
  <c r="A82" i="2"/>
  <c r="H81" i="2"/>
  <c r="G81" i="2"/>
  <c r="E81" i="2"/>
  <c r="D81" i="2"/>
  <c r="C81" i="2"/>
  <c r="B81" i="2"/>
  <c r="A81" i="2"/>
  <c r="H80" i="2"/>
  <c r="G80" i="2"/>
  <c r="E80" i="2"/>
  <c r="D80" i="2"/>
  <c r="C80" i="2"/>
  <c r="B80" i="2"/>
  <c r="A80" i="2"/>
  <c r="H79" i="2"/>
  <c r="G79" i="2"/>
  <c r="E79" i="2"/>
  <c r="D79" i="2"/>
  <c r="C79" i="2"/>
  <c r="B79" i="2"/>
  <c r="A79" i="2"/>
  <c r="H78" i="2"/>
  <c r="G78" i="2"/>
  <c r="E78" i="2"/>
  <c r="D78" i="2"/>
  <c r="C78" i="2"/>
  <c r="B78" i="2"/>
  <c r="A78" i="2"/>
  <c r="H77" i="2"/>
  <c r="G77" i="2"/>
  <c r="E77" i="2"/>
  <c r="D77" i="2"/>
  <c r="C77" i="2"/>
  <c r="B77" i="2"/>
  <c r="A77" i="2"/>
  <c r="H76" i="2"/>
  <c r="G76" i="2"/>
  <c r="E76" i="2"/>
  <c r="D76" i="2"/>
  <c r="C76" i="2"/>
  <c r="B76" i="2"/>
  <c r="A76" i="2"/>
  <c r="H75" i="2"/>
  <c r="G75" i="2"/>
  <c r="E75" i="2"/>
  <c r="D75" i="2"/>
  <c r="C75" i="2"/>
  <c r="B75" i="2"/>
  <c r="A75" i="2"/>
  <c r="H74" i="2"/>
  <c r="G74" i="2"/>
  <c r="E74" i="2"/>
  <c r="D74" i="2"/>
  <c r="C74" i="2"/>
  <c r="B74" i="2"/>
  <c r="A74" i="2"/>
  <c r="H73" i="2"/>
  <c r="G73" i="2"/>
  <c r="E73" i="2"/>
  <c r="D73" i="2"/>
  <c r="C73" i="2"/>
  <c r="B73" i="2"/>
  <c r="A73" i="2"/>
  <c r="H72" i="2"/>
  <c r="G72" i="2"/>
  <c r="E72" i="2"/>
  <c r="D72" i="2"/>
  <c r="C72" i="2"/>
  <c r="B72" i="2"/>
  <c r="A72" i="2"/>
  <c r="H71" i="2"/>
  <c r="G71" i="2"/>
  <c r="E71" i="2"/>
  <c r="D71" i="2"/>
  <c r="C71" i="2"/>
  <c r="B71" i="2"/>
  <c r="A71" i="2"/>
  <c r="H70" i="2"/>
  <c r="G70" i="2"/>
  <c r="E70" i="2"/>
  <c r="D70" i="2"/>
  <c r="C70" i="2"/>
  <c r="B70" i="2"/>
  <c r="A70" i="2"/>
  <c r="H69" i="2"/>
  <c r="G69" i="2"/>
  <c r="E69" i="2"/>
  <c r="D69" i="2"/>
  <c r="C69" i="2"/>
  <c r="B69" i="2"/>
  <c r="A69" i="2"/>
  <c r="H68" i="2"/>
  <c r="G68" i="2"/>
  <c r="E68" i="2"/>
  <c r="D68" i="2"/>
  <c r="C68" i="2"/>
  <c r="B68" i="2"/>
  <c r="A68" i="2"/>
  <c r="H67" i="2"/>
  <c r="G67" i="2"/>
  <c r="E67" i="2"/>
  <c r="D67" i="2"/>
  <c r="C67" i="2"/>
  <c r="B67" i="2"/>
  <c r="A67" i="2"/>
  <c r="H66" i="2"/>
  <c r="G66" i="2"/>
  <c r="E66" i="2"/>
  <c r="D66" i="2"/>
  <c r="C66" i="2"/>
  <c r="B66" i="2"/>
  <c r="A66" i="2"/>
  <c r="H65" i="2"/>
  <c r="G65" i="2"/>
  <c r="E65" i="2"/>
  <c r="D65" i="2"/>
  <c r="C65" i="2"/>
  <c r="B65" i="2"/>
  <c r="A65" i="2"/>
  <c r="H64" i="2"/>
  <c r="G64" i="2"/>
  <c r="E64" i="2"/>
  <c r="D64" i="2"/>
  <c r="C64" i="2"/>
  <c r="B64" i="2"/>
  <c r="A64" i="2"/>
  <c r="H63" i="2"/>
  <c r="G63" i="2"/>
  <c r="E63" i="2"/>
  <c r="D63" i="2"/>
  <c r="C63" i="2"/>
  <c r="B63" i="2"/>
  <c r="A63" i="2"/>
  <c r="H62" i="2"/>
  <c r="G62" i="2"/>
  <c r="E62" i="2"/>
  <c r="D62" i="2"/>
  <c r="C62" i="2"/>
  <c r="B62" i="2"/>
  <c r="A62" i="2"/>
  <c r="H61" i="2"/>
  <c r="G61" i="2"/>
  <c r="E61" i="2"/>
  <c r="D61" i="2"/>
  <c r="C61" i="2"/>
  <c r="B61" i="2"/>
  <c r="A61" i="2"/>
  <c r="H60" i="2"/>
  <c r="G60" i="2"/>
  <c r="E60" i="2"/>
  <c r="D60" i="2"/>
  <c r="C60" i="2"/>
  <c r="B60" i="2"/>
  <c r="A60" i="2"/>
  <c r="H59" i="2"/>
  <c r="G59" i="2"/>
  <c r="E59" i="2"/>
  <c r="D59" i="2"/>
  <c r="C59" i="2"/>
  <c r="B59" i="2"/>
  <c r="A59" i="2"/>
  <c r="H58" i="2"/>
  <c r="G58" i="2"/>
  <c r="E58" i="2"/>
  <c r="D58" i="2"/>
  <c r="C58" i="2"/>
  <c r="B58" i="2"/>
  <c r="A58" i="2"/>
  <c r="H57" i="2"/>
  <c r="G57" i="2"/>
  <c r="E57" i="2"/>
  <c r="D57" i="2"/>
  <c r="C57" i="2"/>
  <c r="B57" i="2"/>
  <c r="A57" i="2"/>
  <c r="H56" i="2"/>
  <c r="G56" i="2"/>
  <c r="E56" i="2"/>
  <c r="D56" i="2"/>
  <c r="C56" i="2"/>
  <c r="B56" i="2"/>
  <c r="A56" i="2"/>
  <c r="H55" i="2"/>
  <c r="G55" i="2"/>
  <c r="E55" i="2"/>
  <c r="D55" i="2"/>
  <c r="C55" i="2"/>
  <c r="B55" i="2"/>
  <c r="A55" i="2"/>
  <c r="H54" i="2"/>
  <c r="G54" i="2"/>
  <c r="E54" i="2"/>
  <c r="D54" i="2"/>
  <c r="C54" i="2"/>
  <c r="B54" i="2"/>
  <c r="A54" i="2"/>
  <c r="H53" i="2"/>
  <c r="G53" i="2"/>
  <c r="E53" i="2"/>
  <c r="D53" i="2"/>
  <c r="C53" i="2"/>
  <c r="B53" i="2"/>
  <c r="A53" i="2"/>
  <c r="H52" i="2"/>
  <c r="G52" i="2"/>
  <c r="E52" i="2"/>
  <c r="D52" i="2"/>
  <c r="C52" i="2"/>
  <c r="B52" i="2"/>
  <c r="A52" i="2"/>
  <c r="H51" i="2"/>
  <c r="G51" i="2"/>
  <c r="E51" i="2"/>
  <c r="D51" i="2"/>
  <c r="C51" i="2"/>
  <c r="B51" i="2"/>
  <c r="A51" i="2"/>
  <c r="H50" i="2"/>
  <c r="G50" i="2"/>
  <c r="E50" i="2"/>
  <c r="D50" i="2"/>
  <c r="C50" i="2"/>
  <c r="B50" i="2"/>
  <c r="A50" i="2"/>
  <c r="H49" i="2"/>
  <c r="G49" i="2"/>
  <c r="E49" i="2"/>
  <c r="D49" i="2"/>
  <c r="C49" i="2"/>
  <c r="B49" i="2"/>
  <c r="A49" i="2"/>
  <c r="H48" i="2"/>
  <c r="G48" i="2"/>
  <c r="E48" i="2"/>
  <c r="D48" i="2"/>
  <c r="C48" i="2"/>
  <c r="B48" i="2"/>
  <c r="A48" i="2"/>
  <c r="H47" i="2"/>
  <c r="G47" i="2"/>
  <c r="E47" i="2"/>
  <c r="D47" i="2"/>
  <c r="C47" i="2"/>
  <c r="B47" i="2"/>
  <c r="A47" i="2"/>
  <c r="H46" i="2"/>
  <c r="G46" i="2"/>
  <c r="E46" i="2"/>
  <c r="D46" i="2"/>
  <c r="C46" i="2"/>
  <c r="B46" i="2"/>
  <c r="A46" i="2"/>
  <c r="H45" i="2"/>
  <c r="G45" i="2"/>
  <c r="E45" i="2"/>
  <c r="D45" i="2"/>
  <c r="C45" i="2"/>
  <c r="B45" i="2"/>
  <c r="A45" i="2"/>
  <c r="H44" i="2"/>
  <c r="G44" i="2"/>
  <c r="E44" i="2"/>
  <c r="D44" i="2"/>
  <c r="C44" i="2"/>
  <c r="B44" i="2"/>
  <c r="A44" i="2"/>
  <c r="H43" i="2"/>
  <c r="G43" i="2"/>
  <c r="E43" i="2"/>
  <c r="D43" i="2"/>
  <c r="C43" i="2"/>
  <c r="B43" i="2"/>
  <c r="A43" i="2"/>
  <c r="H42" i="2"/>
  <c r="G42" i="2"/>
  <c r="E42" i="2"/>
  <c r="D42" i="2"/>
  <c r="C42" i="2"/>
  <c r="B42" i="2"/>
  <c r="A42" i="2"/>
  <c r="H41" i="2"/>
  <c r="G41" i="2"/>
  <c r="E41" i="2"/>
  <c r="D41" i="2"/>
  <c r="C41" i="2"/>
  <c r="B41" i="2"/>
  <c r="A41" i="2"/>
  <c r="H40" i="2"/>
  <c r="G40" i="2"/>
  <c r="E40" i="2"/>
  <c r="D40" i="2"/>
  <c r="C40" i="2"/>
  <c r="B40" i="2"/>
  <c r="A40" i="2"/>
  <c r="H39" i="2"/>
  <c r="G39" i="2"/>
  <c r="E39" i="2"/>
  <c r="D39" i="2"/>
  <c r="C39" i="2"/>
  <c r="B39" i="2"/>
  <c r="A39" i="2"/>
  <c r="H38" i="2"/>
  <c r="G38" i="2"/>
  <c r="E38" i="2"/>
  <c r="D38" i="2"/>
  <c r="C38" i="2"/>
  <c r="B38" i="2"/>
  <c r="A38" i="2"/>
  <c r="H37" i="2"/>
  <c r="G37" i="2"/>
  <c r="E37" i="2"/>
  <c r="D37" i="2"/>
  <c r="C37" i="2"/>
  <c r="B37" i="2"/>
  <c r="A37" i="2"/>
  <c r="H36" i="2"/>
  <c r="G36" i="2"/>
  <c r="E36" i="2"/>
  <c r="D36" i="2"/>
  <c r="C36" i="2"/>
  <c r="B36" i="2"/>
  <c r="A36" i="2"/>
  <c r="H35" i="2"/>
  <c r="G35" i="2"/>
  <c r="E35" i="2"/>
  <c r="D35" i="2"/>
  <c r="C35" i="2"/>
  <c r="B35" i="2"/>
  <c r="A35" i="2"/>
  <c r="H34" i="2"/>
  <c r="G34" i="2"/>
  <c r="E34" i="2"/>
  <c r="D34" i="2"/>
  <c r="C34" i="2"/>
  <c r="B34" i="2"/>
  <c r="A34" i="2"/>
  <c r="H33" i="2"/>
  <c r="G33" i="2"/>
  <c r="E33" i="2"/>
  <c r="D33" i="2"/>
  <c r="C33" i="2"/>
  <c r="B33" i="2"/>
  <c r="A33" i="2"/>
  <c r="H32" i="2"/>
  <c r="G32" i="2"/>
  <c r="E32" i="2"/>
  <c r="D32" i="2"/>
  <c r="C32" i="2"/>
  <c r="B32" i="2"/>
  <c r="A32" i="2"/>
  <c r="H31" i="2"/>
  <c r="G31" i="2"/>
  <c r="E31" i="2"/>
  <c r="D31" i="2"/>
  <c r="C31" i="2"/>
  <c r="B31" i="2"/>
  <c r="A31" i="2"/>
  <c r="H30" i="2"/>
  <c r="G30" i="2"/>
  <c r="E30" i="2"/>
  <c r="D30" i="2"/>
  <c r="C30" i="2"/>
  <c r="B30" i="2"/>
  <c r="A30" i="2"/>
  <c r="H29" i="2"/>
  <c r="G29" i="2"/>
  <c r="E29" i="2"/>
  <c r="D29" i="2"/>
  <c r="C29" i="2"/>
  <c r="B29" i="2"/>
  <c r="A29" i="2"/>
  <c r="H28" i="2"/>
  <c r="G28" i="2"/>
  <c r="E28" i="2"/>
  <c r="D28" i="2"/>
  <c r="C28" i="2"/>
  <c r="B28" i="2"/>
  <c r="A28" i="2"/>
  <c r="H27" i="2"/>
  <c r="G27" i="2"/>
  <c r="E27" i="2"/>
  <c r="D27" i="2"/>
  <c r="C27" i="2"/>
  <c r="B27" i="2"/>
  <c r="A27" i="2"/>
  <c r="H26" i="2"/>
  <c r="G26" i="2"/>
  <c r="E26" i="2"/>
  <c r="D26" i="2"/>
  <c r="C26" i="2"/>
  <c r="B26" i="2"/>
  <c r="A26" i="2"/>
  <c r="H25" i="2"/>
  <c r="G25" i="2"/>
  <c r="E25" i="2"/>
  <c r="D25" i="2"/>
  <c r="C25" i="2"/>
  <c r="B25" i="2"/>
  <c r="A25" i="2"/>
  <c r="H24" i="2"/>
  <c r="G24" i="2"/>
  <c r="E24" i="2"/>
  <c r="D24" i="2"/>
  <c r="C24" i="2"/>
  <c r="B24" i="2"/>
  <c r="A24" i="2"/>
  <c r="H23" i="2"/>
  <c r="G23" i="2"/>
  <c r="E23" i="2"/>
  <c r="D23" i="2"/>
  <c r="C23" i="2"/>
  <c r="B23" i="2"/>
  <c r="A23" i="2"/>
  <c r="H22" i="2"/>
  <c r="G22" i="2"/>
  <c r="E22" i="2"/>
  <c r="D22" i="2"/>
  <c r="C22" i="2"/>
  <c r="B22" i="2"/>
  <c r="A22" i="2"/>
  <c r="H21" i="2"/>
  <c r="G21" i="2"/>
  <c r="E21" i="2"/>
  <c r="D21" i="2"/>
  <c r="C21" i="2"/>
  <c r="B21" i="2"/>
  <c r="A21" i="2"/>
  <c r="H20" i="2"/>
  <c r="G20" i="2"/>
  <c r="E20" i="2"/>
  <c r="D20" i="2"/>
  <c r="C20" i="2"/>
  <c r="B20" i="2"/>
  <c r="A20" i="2"/>
  <c r="H19" i="2"/>
  <c r="G19" i="2"/>
  <c r="E19" i="2"/>
  <c r="D19" i="2"/>
  <c r="C19" i="2"/>
  <c r="B19" i="2"/>
  <c r="A19" i="2"/>
  <c r="H18" i="2"/>
  <c r="G18" i="2"/>
  <c r="E18" i="2"/>
  <c r="D18" i="2"/>
  <c r="C18" i="2"/>
  <c r="B18" i="2"/>
  <c r="A18" i="2"/>
  <c r="H17" i="2"/>
  <c r="G17" i="2"/>
  <c r="E17" i="2"/>
  <c r="D17" i="2"/>
  <c r="C17" i="2"/>
  <c r="B17" i="2"/>
  <c r="A17" i="2"/>
  <c r="H16" i="2"/>
  <c r="G16" i="2"/>
  <c r="E16" i="2"/>
  <c r="D16" i="2"/>
  <c r="C16" i="2"/>
  <c r="B16" i="2"/>
  <c r="A16" i="2"/>
  <c r="H15" i="2"/>
  <c r="G15" i="2"/>
  <c r="E15" i="2"/>
  <c r="D15" i="2"/>
  <c r="C15" i="2"/>
  <c r="B15" i="2"/>
  <c r="A15" i="2"/>
  <c r="H14" i="2"/>
  <c r="G14" i="2"/>
  <c r="E14" i="2"/>
  <c r="D14" i="2"/>
  <c r="C14" i="2"/>
  <c r="B14" i="2"/>
  <c r="A14" i="2"/>
  <c r="H13" i="2"/>
  <c r="G13" i="2"/>
  <c r="E13" i="2"/>
  <c r="D13" i="2"/>
  <c r="C13" i="2"/>
  <c r="B13" i="2"/>
  <c r="A13" i="2"/>
  <c r="H12" i="2"/>
  <c r="G12" i="2"/>
  <c r="E12" i="2"/>
  <c r="D12" i="2"/>
  <c r="C12" i="2"/>
  <c r="B12" i="2"/>
  <c r="A12" i="2"/>
  <c r="H11" i="2"/>
  <c r="G11" i="2"/>
  <c r="E11" i="2"/>
  <c r="D11" i="2"/>
  <c r="C11" i="2"/>
  <c r="B11" i="2"/>
  <c r="A11" i="2"/>
  <c r="H10" i="2"/>
  <c r="G10" i="2"/>
  <c r="E10" i="2"/>
  <c r="D10" i="2"/>
  <c r="C10" i="2"/>
  <c r="B10" i="2"/>
  <c r="A10" i="2"/>
  <c r="H9" i="2"/>
  <c r="G9" i="2"/>
  <c r="E9" i="2"/>
  <c r="D9" i="2"/>
  <c r="C9" i="2"/>
  <c r="B9" i="2"/>
  <c r="A9" i="2"/>
  <c r="H8" i="2"/>
  <c r="G8" i="2"/>
  <c r="E8" i="2"/>
  <c r="D8" i="2"/>
  <c r="C8" i="2"/>
  <c r="B8" i="2"/>
  <c r="A8" i="2"/>
  <c r="H7" i="2"/>
  <c r="G7" i="2"/>
  <c r="E7" i="2"/>
  <c r="D7" i="2"/>
  <c r="C7" i="2"/>
  <c r="B7" i="2"/>
  <c r="A7" i="2"/>
  <c r="H6" i="2"/>
  <c r="G6" i="2"/>
  <c r="E6" i="2"/>
  <c r="D6" i="2"/>
  <c r="C6" i="2"/>
  <c r="B6" i="2"/>
  <c r="A6" i="2"/>
  <c r="H5" i="2"/>
  <c r="G5" i="2"/>
  <c r="E5" i="2"/>
  <c r="D5" i="2"/>
  <c r="C5" i="2"/>
  <c r="B5" i="2"/>
  <c r="A5" i="2"/>
  <c r="H4" i="2"/>
  <c r="G4" i="2"/>
  <c r="E4" i="2"/>
  <c r="D4" i="2"/>
  <c r="C4" i="2"/>
  <c r="B4" i="2"/>
  <c r="A4" i="2"/>
  <c r="H3" i="2"/>
  <c r="G3" i="2"/>
  <c r="E3" i="2"/>
  <c r="D3" i="2"/>
  <c r="C3" i="2"/>
  <c r="B3" i="2"/>
  <c r="A3" i="2"/>
  <c r="H2" i="2"/>
  <c r="G2" i="2"/>
  <c r="E2" i="2"/>
  <c r="D2" i="2"/>
  <c r="C2" i="2"/>
  <c r="B2" i="2"/>
  <c r="A2" i="2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E38" i="1"/>
  <c r="D38" i="1"/>
  <c r="K37" i="1"/>
  <c r="J37" i="1"/>
  <c r="E37" i="1"/>
  <c r="D37" i="1"/>
  <c r="K36" i="1"/>
  <c r="J36" i="1"/>
  <c r="E36" i="1"/>
  <c r="D36" i="1"/>
  <c r="K35" i="1"/>
  <c r="J35" i="1"/>
  <c r="E35" i="1"/>
  <c r="D35" i="1"/>
  <c r="K34" i="1"/>
  <c r="J34" i="1"/>
  <c r="E34" i="1"/>
  <c r="D34" i="1"/>
  <c r="K33" i="1"/>
  <c r="J33" i="1"/>
  <c r="E33" i="1"/>
  <c r="D33" i="1"/>
  <c r="K32" i="1"/>
  <c r="J32" i="1"/>
  <c r="E32" i="1"/>
  <c r="D32" i="1"/>
  <c r="K31" i="1"/>
  <c r="J31" i="1"/>
  <c r="E31" i="1"/>
  <c r="D31" i="1"/>
  <c r="K30" i="1"/>
  <c r="J30" i="1"/>
  <c r="E30" i="1"/>
  <c r="D30" i="1"/>
  <c r="K29" i="1"/>
  <c r="J29" i="1"/>
  <c r="E29" i="1"/>
  <c r="D29" i="1"/>
  <c r="K28" i="1"/>
  <c r="J28" i="1"/>
  <c r="E28" i="1"/>
  <c r="D28" i="1"/>
  <c r="K27" i="1"/>
  <c r="J27" i="1"/>
  <c r="E27" i="1"/>
  <c r="D27" i="1"/>
  <c r="K26" i="1"/>
  <c r="J26" i="1"/>
  <c r="E26" i="1"/>
  <c r="D26" i="1"/>
  <c r="K25" i="1"/>
  <c r="J25" i="1"/>
  <c r="E25" i="1"/>
  <c r="D25" i="1"/>
  <c r="K24" i="1"/>
  <c r="J24" i="1"/>
  <c r="E24" i="1"/>
  <c r="D24" i="1"/>
  <c r="K23" i="1"/>
  <c r="J23" i="1"/>
  <c r="E23" i="1"/>
  <c r="D23" i="1"/>
  <c r="K22" i="1"/>
  <c r="J22" i="1"/>
  <c r="E22" i="1"/>
  <c r="D22" i="1"/>
  <c r="K21" i="1"/>
  <c r="J21" i="1"/>
  <c r="E21" i="1"/>
  <c r="D21" i="1"/>
  <c r="K20" i="1"/>
  <c r="J20" i="1"/>
  <c r="E20" i="1"/>
  <c r="D20" i="1"/>
  <c r="K19" i="1"/>
  <c r="J19" i="1"/>
  <c r="E19" i="1"/>
  <c r="D19" i="1"/>
  <c r="K18" i="1"/>
  <c r="J18" i="1"/>
  <c r="E18" i="1"/>
  <c r="D18" i="1"/>
  <c r="K17" i="1"/>
  <c r="J17" i="1"/>
  <c r="E17" i="1"/>
  <c r="D17" i="1"/>
  <c r="K16" i="1"/>
  <c r="J16" i="1"/>
  <c r="E16" i="1"/>
  <c r="D16" i="1"/>
  <c r="K15" i="1"/>
  <c r="J15" i="1"/>
  <c r="E15" i="1"/>
  <c r="D15" i="1"/>
  <c r="K14" i="1"/>
  <c r="J14" i="1"/>
  <c r="E14" i="1"/>
  <c r="D14" i="1"/>
  <c r="K13" i="1"/>
  <c r="J13" i="1"/>
  <c r="E13" i="1"/>
  <c r="D13" i="1"/>
  <c r="K12" i="1"/>
  <c r="J12" i="1"/>
  <c r="E12" i="1"/>
  <c r="D12" i="1"/>
  <c r="K11" i="1"/>
  <c r="J11" i="1"/>
  <c r="E11" i="1"/>
  <c r="D11" i="1"/>
  <c r="K10" i="1"/>
  <c r="J10" i="1"/>
  <c r="E10" i="1"/>
  <c r="D10" i="1"/>
  <c r="B10" i="1"/>
  <c r="K9" i="1"/>
  <c r="J9" i="1"/>
  <c r="E9" i="1"/>
  <c r="D9" i="1"/>
  <c r="K8" i="1"/>
  <c r="J8" i="1"/>
  <c r="E8" i="1"/>
  <c r="D8" i="1"/>
  <c r="B8" i="1"/>
  <c r="K7" i="1"/>
  <c r="J7" i="1"/>
  <c r="E7" i="1"/>
  <c r="D7" i="1"/>
  <c r="K6" i="1"/>
  <c r="J6" i="1"/>
  <c r="E6" i="1"/>
  <c r="D6" i="1"/>
  <c r="B6" i="1"/>
  <c r="K5" i="1"/>
  <c r="J5" i="1"/>
  <c r="E5" i="1"/>
  <c r="D5" i="1"/>
  <c r="K4" i="1"/>
  <c r="J4" i="1"/>
  <c r="E4" i="1"/>
  <c r="D4" i="1"/>
  <c r="B4" i="1"/>
  <c r="K3" i="1"/>
  <c r="J3" i="1"/>
  <c r="E3" i="1"/>
  <c r="D3" i="1"/>
  <c r="K2" i="1"/>
  <c r="J2" i="1"/>
  <c r="E2" i="1"/>
  <c r="D2" i="1"/>
  <c r="B2" i="1"/>
</calcChain>
</file>

<file path=xl/sharedStrings.xml><?xml version="1.0" encoding="utf-8"?>
<sst xmlns="http://schemas.openxmlformats.org/spreadsheetml/2006/main" count="3202" uniqueCount="721">
  <si>
    <t>S.No.</t>
  </si>
  <si>
    <t>Dashboard Structure</t>
  </si>
  <si>
    <t>From Date 01.04.2026 to 31.08.2026</t>
  </si>
  <si>
    <t>Division</t>
  </si>
  <si>
    <t>ME-wise Summary</t>
  </si>
  <si>
    <t>Name of Customer</t>
  </si>
  <si>
    <t>Customer ID</t>
  </si>
  <si>
    <t>Date of Onboarding</t>
  </si>
  <si>
    <t>Product Type</t>
  </si>
  <si>
    <t>B2B Or B2C</t>
  </si>
  <si>
    <t>Name of ME Who Onboarded</t>
  </si>
  <si>
    <t>Product Type Summary</t>
  </si>
  <si>
    <t>Customer Type Advance/ BNPL</t>
  </si>
  <si>
    <t>Total Customers</t>
  </si>
  <si>
    <t>Indore City</t>
  </si>
  <si>
    <t>DRASHTI ENTERPRISES</t>
  </si>
  <si>
    <t>Indore MFL</t>
  </si>
  <si>
    <t>SBI AMCC DEWAS</t>
  </si>
  <si>
    <t>LETTERS</t>
  </si>
  <si>
    <t>B2C</t>
  </si>
  <si>
    <t>Jalaj Rawat</t>
  </si>
  <si>
    <t>SANTOSH VERMA</t>
  </si>
  <si>
    <t>PRIYAL AQUATECH SERVICES</t>
  </si>
  <si>
    <t>BNPL</t>
  </si>
  <si>
    <t>GURUKRIPA FOODS</t>
  </si>
  <si>
    <t>FMCG</t>
  </si>
  <si>
    <t>VARNSHIKA HERBALS PVT LTD</t>
  </si>
  <si>
    <t>BRIJESH SHRIVAS</t>
  </si>
  <si>
    <t>ADVANCE</t>
  </si>
  <si>
    <t>Rahul Panchal</t>
  </si>
  <si>
    <t>KASHISH SAREE</t>
  </si>
  <si>
    <t>SANWARIYA HERBALS</t>
  </si>
  <si>
    <t xml:space="preserve">FASHION </t>
  </si>
  <si>
    <t>SA HERBAL BIOACTIVE LLP</t>
  </si>
  <si>
    <t>Bank of India zonal office indore</t>
  </si>
  <si>
    <t>HERBVAL PRODUCTS</t>
  </si>
  <si>
    <t>SWARAJ COACHING CLASSES</t>
  </si>
  <si>
    <t>BHUMI AGRO INDUSTRIES</t>
  </si>
  <si>
    <t>Zuber Ahmed Khan</t>
  </si>
  <si>
    <t>CENTRAL BANK OF INDIA</t>
  </si>
  <si>
    <t>MEDICINES</t>
  </si>
  <si>
    <t>Total B2B</t>
  </si>
  <si>
    <t>MPPKVVCL</t>
  </si>
  <si>
    <t>GOVIRA</t>
  </si>
  <si>
    <t>state bank of india</t>
  </si>
  <si>
    <t>RSP ENTERPRISES</t>
  </si>
  <si>
    <t>SP WORLD SOLUTION</t>
  </si>
  <si>
    <t>INNOVATIVE ENTERPRISES</t>
  </si>
  <si>
    <t>SPORTS PRODUCTS</t>
  </si>
  <si>
    <t>ASHU HERBAL</t>
  </si>
  <si>
    <t>Total B2C</t>
  </si>
  <si>
    <t>Rahul Khichi</t>
  </si>
  <si>
    <t>MACHINE GOODS</t>
  </si>
  <si>
    <t>JAIN ENTERPRISES</t>
  </si>
  <si>
    <t>LIC OF INDIA</t>
  </si>
  <si>
    <t>LASNARO AGROVET PRIVATE LIMITED</t>
  </si>
  <si>
    <t>Gupta enterprises</t>
  </si>
  <si>
    <t>Brain Box</t>
  </si>
  <si>
    <t>LETTES</t>
  </si>
  <si>
    <t>SPNIWCD RC Indore</t>
  </si>
  <si>
    <t>ZAKIR SHAH</t>
  </si>
  <si>
    <t>Today's Onboarding</t>
  </si>
  <si>
    <t>govt. holkar science college</t>
  </si>
  <si>
    <t>Shri Mohan Enterprises</t>
  </si>
  <si>
    <t>NAVPRAN ENTERPRISES PVT LTD</t>
  </si>
  <si>
    <t>AAHARSUDHI</t>
  </si>
  <si>
    <t>PANKAJ FOOTWEAR</t>
  </si>
  <si>
    <t>SHOES</t>
  </si>
  <si>
    <t>This Month Onboarding</t>
  </si>
  <si>
    <t>DNHS HEAL THCARE DEVICES PRIVATE LIMITED</t>
  </si>
  <si>
    <t>PM SHRI Kendriya Vidhayala</t>
  </si>
  <si>
    <t>RAHI COLLECTION</t>
  </si>
  <si>
    <t>Superb Apparels</t>
  </si>
  <si>
    <t>CAREER COMPUTOR</t>
  </si>
  <si>
    <t>PARCEL</t>
  </si>
  <si>
    <t>SWASTIKA INVESTMART LIMITED</t>
  </si>
  <si>
    <t>BAIS AYURVEDA BHAWAN</t>
  </si>
  <si>
    <t>CDTL Indore</t>
  </si>
  <si>
    <t>ROBOPIE.INC</t>
  </si>
  <si>
    <t>ELEGANCE</t>
  </si>
  <si>
    <t>ARYA NEWTECH PRIVATE LIMITED</t>
  </si>
  <si>
    <t>Grandeur Ventures International</t>
  </si>
  <si>
    <t>INDIAN OVERSEAS BANK</t>
  </si>
  <si>
    <t>LABU INTERNATIONAL</t>
  </si>
  <si>
    <t>VELLA INTERNATIONAL</t>
  </si>
  <si>
    <t>SANJEEVANI AYURVEDIC</t>
  </si>
  <si>
    <t>IPPB Dewas</t>
  </si>
  <si>
    <t>STATE BANK OF INDIA HIGH COURT BRANCH</t>
  </si>
  <si>
    <t>Union Bank Of India Regal Square</t>
  </si>
  <si>
    <t>Indusind General Insurance Company Ltd</t>
  </si>
  <si>
    <t>SIPL DATA SERVICES</t>
  </si>
  <si>
    <t>National insurance co. Ltd. IRO</t>
  </si>
  <si>
    <t>FIT FOR MAN</t>
  </si>
  <si>
    <t>LAKSHYA OVERSEAS EDUCATION</t>
  </si>
  <si>
    <t>Patanjali Foods Limited</t>
  </si>
  <si>
    <t>Union Bank of India ARB Branch</t>
  </si>
  <si>
    <t>VATYA THE LABEL</t>
  </si>
  <si>
    <t>MUKUL LEARNING SYSTEMS LLP</t>
  </si>
  <si>
    <t>The Easy Shopping</t>
  </si>
  <si>
    <t>champion square</t>
  </si>
  <si>
    <t>JK AGRO INPUTS LLP</t>
  </si>
  <si>
    <t>MONTI ENTERPRISES</t>
  </si>
  <si>
    <t>NIROGYA JEEVAN</t>
  </si>
  <si>
    <t>PADMAKAR HANDCRAFTED SOAP</t>
  </si>
  <si>
    <t>TRP COTTON LINAN</t>
  </si>
  <si>
    <t>SHRI BALAJI ENTERPRISES</t>
  </si>
  <si>
    <t>UNIK NATURALS</t>
  </si>
  <si>
    <t>Deliverdas Jyayase Pvt Ltd</t>
  </si>
  <si>
    <t>Division Summary</t>
  </si>
  <si>
    <t>Lebroid healthcare PVT LTD</t>
  </si>
  <si>
    <t>ALPHA ACADEMY</t>
  </si>
  <si>
    <t>AVIKA ENTERPRISES</t>
  </si>
  <si>
    <t>KISAN4U MARKETING PVT LTD</t>
  </si>
  <si>
    <t>MAARENUKA FOODS PVT LTD</t>
  </si>
  <si>
    <t>SE CPWD INDORE</t>
  </si>
  <si>
    <t>ALMIGHTY ORGANICS PRIVATE LIMITED</t>
  </si>
  <si>
    <t>DITVI EXPORTS PVT LTD</t>
  </si>
  <si>
    <t>Madhur Courier Services</t>
  </si>
  <si>
    <t>B2B</t>
  </si>
  <si>
    <t>RIAA MEHENDI</t>
  </si>
  <si>
    <t>SAWARNA BY HEER</t>
  </si>
  <si>
    <t>THE VAIDIK</t>
  </si>
  <si>
    <t>DYNAMECH ENGINEERS</t>
  </si>
  <si>
    <t>HANSHIKA CORPORATION</t>
  </si>
  <si>
    <t>HPCL LPG RO INDORE</t>
  </si>
  <si>
    <t>NIACL INDORE LBO</t>
  </si>
  <si>
    <t>PRINCESS SHOPEE</t>
  </si>
  <si>
    <t>rajratan industries private limited</t>
  </si>
  <si>
    <t>THE CRAFT SHELF</t>
  </si>
  <si>
    <t>3A SERVICES</t>
  </si>
  <si>
    <t>SBI BANK AMCC BRANCH GPO CAMPUS</t>
  </si>
  <si>
    <t>G S MARKETING</t>
  </si>
  <si>
    <t>JANA SMALL FINANCE BANK LIMITED</t>
  </si>
  <si>
    <t>sixth sense marketing pvt.ltd</t>
  </si>
  <si>
    <t>AYODHYA PRAKASH AYURVEDA</t>
  </si>
  <si>
    <t>DWIVEDI ENTERPRISES</t>
  </si>
  <si>
    <t>IMPULSE AYURVEDA CARE</t>
  </si>
  <si>
    <t>krishi darshan and company</t>
  </si>
  <si>
    <t>MAA FALAUDI DISTRIBUTERS</t>
  </si>
  <si>
    <t>MASTER MIND BOOK</t>
  </si>
  <si>
    <t>NARAYANA FOODS</t>
  </si>
  <si>
    <t>BALAJI EXPRESS SERVICE</t>
  </si>
  <si>
    <t>HIMANSHU TRADERS</t>
  </si>
  <si>
    <t>LUCKYS PHARMA LAB PVT LTD</t>
  </si>
  <si>
    <t>m.p. exam academy</t>
  </si>
  <si>
    <t>sansaram</t>
  </si>
  <si>
    <t>shri satyasai books and publication trust</t>
  </si>
  <si>
    <t>SYNERGY VENTURES</t>
  </si>
  <si>
    <t>the word among us</t>
  </si>
  <si>
    <t>YUMILOOP</t>
  </si>
  <si>
    <t>golden fortune</t>
  </si>
  <si>
    <t>KRATI ENTERPRISES</t>
  </si>
  <si>
    <t>madhav overses corporation</t>
  </si>
  <si>
    <t>shreeji collection</t>
  </si>
  <si>
    <t>The Ayurveda Hub Healthcare Pvt Ltd</t>
  </si>
  <si>
    <t>KD SHOPING</t>
  </si>
  <si>
    <t>MYSHA CREATION</t>
  </si>
  <si>
    <t>SANDESH YARN TRDING COMPANY PRIVATE LIMITED</t>
  </si>
  <si>
    <t>THE CURRENCYPEDIA</t>
  </si>
  <si>
    <t>White O Splash</t>
  </si>
  <si>
    <t>CUNTZTHRIFT</t>
  </si>
  <si>
    <t>P.M. COLLECTION</t>
  </si>
  <si>
    <t>RATHI TRADERS</t>
  </si>
  <si>
    <t>HARSHI'S HUB</t>
  </si>
  <si>
    <t>DIVISIONAL FOOD TESTING LABORATORY</t>
  </si>
  <si>
    <t>LIC MANDAL KARYALAY</t>
  </si>
  <si>
    <t>SGKING PRIVATE LIMITED</t>
  </si>
  <si>
    <t>COCOECLUB</t>
  </si>
  <si>
    <t>GS SECURITY SERVICES</t>
  </si>
  <si>
    <t>ISHVARI ARTS</t>
  </si>
  <si>
    <t>MOHANTY BOARD INDUSTRIES</t>
  </si>
  <si>
    <t>SWAARNIM NATURSCIENCE LIMITED</t>
  </si>
  <si>
    <t>ZYLACIA</t>
  </si>
  <si>
    <t>LAXMI AGRO AGENCY</t>
  </si>
  <si>
    <t>Competition Point</t>
  </si>
  <si>
    <t>KHACHROD WALE KE NAMKEEN</t>
  </si>
  <si>
    <t>KREESHIKA SOLUTION</t>
  </si>
  <si>
    <t>DRMEDILAB</t>
  </si>
  <si>
    <t>SHRI MAHAVEER HOME FURNISH EXPO PRIVATE LIMITED</t>
  </si>
  <si>
    <t>JUGADU LOKESH</t>
  </si>
  <si>
    <t>AAVYA ENTERPRISES</t>
  </si>
  <si>
    <t>NEW SARRAH TRADING</t>
  </si>
  <si>
    <t>Khandwa</t>
  </si>
  <si>
    <t>PIONEER HANDLOOM</t>
  </si>
  <si>
    <t>24.08.2026</t>
  </si>
  <si>
    <t>Speed Post Parcel Domestic</t>
  </si>
  <si>
    <t>VINEET PATEL</t>
  </si>
  <si>
    <t>GKM NURSING CAREER POINT</t>
  </si>
  <si>
    <t>SHIVRAM BILLORE</t>
  </si>
  <si>
    <t>21.08.2026</t>
  </si>
  <si>
    <t>J R ENTERPRISES</t>
  </si>
  <si>
    <t>BHAGYASHREE AGRAWAL</t>
  </si>
  <si>
    <t>Indiapost Parcel Contractual</t>
  </si>
  <si>
    <t>junaid khan</t>
  </si>
  <si>
    <t>New Kanpur Chappal Sale</t>
  </si>
  <si>
    <t>20.08.2026</t>
  </si>
  <si>
    <t>RIYAL STORE LLP</t>
  </si>
  <si>
    <t>AKHTAR KHAN</t>
  </si>
  <si>
    <t>17.08.2026</t>
  </si>
  <si>
    <t>YASHWANT MANGOLIYA</t>
  </si>
  <si>
    <t>Lavish Livings Homes</t>
  </si>
  <si>
    <t>MISS CHORCHET</t>
  </si>
  <si>
    <t>Sunil bhojwani</t>
  </si>
  <si>
    <t>PRISHA LINEN</t>
  </si>
  <si>
    <t>MAHAK ASWANI</t>
  </si>
  <si>
    <t>Khushi Shoes house</t>
  </si>
  <si>
    <t>STATE BANK OF INDIA EDUCATION COLONY BRANCH</t>
  </si>
  <si>
    <t>AALI QADAR CLOTH STORES AND GENTS TAILORS</t>
  </si>
  <si>
    <t>12.08.2026</t>
  </si>
  <si>
    <t>RISHABH LABORATORIES PRIVATE LIMITED</t>
  </si>
  <si>
    <t>JITENDRA SISODIYA</t>
  </si>
  <si>
    <t>S M VILLAGE ENTERPRISE</t>
  </si>
  <si>
    <t>VIHAAN PACKAGING</t>
  </si>
  <si>
    <t>SHREE DATT SHOPPING CENTER</t>
  </si>
  <si>
    <t>13.08.2026</t>
  </si>
  <si>
    <t>SANTOSH RATHORE</t>
  </si>
  <si>
    <t>KALPANA</t>
  </si>
  <si>
    <t>11.08.2026</t>
  </si>
  <si>
    <t>BADEKA TELE SHOP</t>
  </si>
  <si>
    <t>MANSI</t>
  </si>
  <si>
    <t>07.08.2026</t>
  </si>
  <si>
    <t>AMIT PAWAR</t>
  </si>
  <si>
    <t>CAMPUS MALL PVT LTD.</t>
  </si>
  <si>
    <t>FIRST IMPRESSION GIRLS AND KIDS WEAR</t>
  </si>
  <si>
    <t>Speed Post</t>
  </si>
  <si>
    <t>SHREE KAILASHPATI TEXTILES</t>
  </si>
  <si>
    <t>DR NAMITA CHOUHAN</t>
  </si>
  <si>
    <t>KALACHITRA</t>
  </si>
  <si>
    <t>sunil bhojwani</t>
  </si>
  <si>
    <t>KAWAD SWAD UDHYAG</t>
  </si>
  <si>
    <t>05.08.2026</t>
  </si>
  <si>
    <t>luckshree traders</t>
  </si>
  <si>
    <t>KAMLESH PATEL</t>
  </si>
  <si>
    <t>03.08.2026</t>
  </si>
  <si>
    <t>SDJ ENTERPRISES</t>
  </si>
  <si>
    <t>BADSHAH ARMY STORE</t>
  </si>
  <si>
    <t>NEERVI CREATIONS</t>
  </si>
  <si>
    <t>04.08.2026</t>
  </si>
  <si>
    <t>International Tracked Packet Service</t>
  </si>
  <si>
    <t>style n sew</t>
  </si>
  <si>
    <t>31.07.2026</t>
  </si>
  <si>
    <t>DR C V RAMAN UNIVERSITY KHANDWA</t>
  </si>
  <si>
    <t>GRAH SHOBHA BHIKANGAON</t>
  </si>
  <si>
    <t>20.07.2026</t>
  </si>
  <si>
    <t>KALYANI YADAV MACHHALGAON GOGAWA</t>
  </si>
  <si>
    <t>30.07.2026</t>
  </si>
  <si>
    <t>CENTRAL BANK OF INDIA KHARGONE</t>
  </si>
  <si>
    <t>14.07.2026</t>
  </si>
  <si>
    <t>SINGHANIA TEXTILES BURHANPUR</t>
  </si>
  <si>
    <t>MOHAMMADI INVTETION AND LADIES GARMENTS BARWANI</t>
  </si>
  <si>
    <t>09.07.2026</t>
  </si>
  <si>
    <t>SHAKUMBHRI HERBALS PRIVATE LIMITED KHANDWA</t>
  </si>
  <si>
    <t>JUNAId khan</t>
  </si>
  <si>
    <t>ESSKEETIT BISTAN</t>
  </si>
  <si>
    <t>23.06.2026</t>
  </si>
  <si>
    <t>Registered Mails</t>
  </si>
  <si>
    <t>DURGA TRADERS BURHANPUR</t>
  </si>
  <si>
    <t>BIGMONEY WALLET INVESTMENT PRIVATE LIMITED KARHI</t>
  </si>
  <si>
    <t>18.06.2026</t>
  </si>
  <si>
    <t>MARKETING MANTRA SOLUTIONS BURHANPUR</t>
  </si>
  <si>
    <t>VEDSUTRA ECO ORGENICS JALKUWA</t>
  </si>
  <si>
    <t>05.06.2026</t>
  </si>
  <si>
    <t>FASHION HUB MENS WEAR KHANDWA</t>
  </si>
  <si>
    <t>SHRI VINAYAK MILLS BURHANPUR</t>
  </si>
  <si>
    <t>BHARAT TEXTILES BURHANPUR</t>
  </si>
  <si>
    <t>ROHIT PATEL KHANDWA</t>
  </si>
  <si>
    <t>01.06.2026</t>
  </si>
  <si>
    <t>KULDEEP KEWAT BAKAWAN</t>
  </si>
  <si>
    <t>19.05.2026</t>
  </si>
  <si>
    <t>MAAHI NARMDESHWAR SHIVLING ART BAKAWAN</t>
  </si>
  <si>
    <t>OMPRAKASH KEWAT BAKAWAN</t>
  </si>
  <si>
    <t>SONU GAYAKAWAD BAKAWAN</t>
  </si>
  <si>
    <t>MANGAL TEXTILES BURHANPUR</t>
  </si>
  <si>
    <t>15.05.2026</t>
  </si>
  <si>
    <t>PSM PODDAR SYNTHETIC PVT LTD BURHANPUR</t>
  </si>
  <si>
    <t>SHRI KUNJ BIHARI PROCESS BURHANPUR</t>
  </si>
  <si>
    <t>13.05.2026</t>
  </si>
  <si>
    <t>MANAN SONI KHANDWA</t>
  </si>
  <si>
    <t>16.04.2026</t>
  </si>
  <si>
    <t>PRITI CREATION RAJPUR</t>
  </si>
  <si>
    <t>SAAVI AGRO VENTURES BISTAN</t>
  </si>
  <si>
    <t>INSTANT INFORMATION SOFTWARE SERVICE PVT LTD BURHANPUR</t>
  </si>
  <si>
    <t>KHANDWA PIGEON</t>
  </si>
  <si>
    <t>SHARMA MEDICAL STORES SENDHWA</t>
  </si>
  <si>
    <t>KUSHWAH E MOTORS KHARGONE</t>
  </si>
  <si>
    <t>08.04.2026</t>
  </si>
  <si>
    <t>NATIONAL STATISTICAL OFFICE, (FOD) MOSPI</t>
  </si>
  <si>
    <t>24.09.2026</t>
  </si>
  <si>
    <t>TASMIYA PARVEEN</t>
  </si>
  <si>
    <t>ARCHANA JADHAV</t>
  </si>
  <si>
    <t>21.09.2026</t>
  </si>
  <si>
    <t>SHREE BALAJI IRON MART</t>
  </si>
  <si>
    <t>JAIDEEP KEWAT</t>
  </si>
  <si>
    <t>AALOK RATHOR</t>
  </si>
  <si>
    <t>09.09.2026</t>
  </si>
  <si>
    <t xml:space="preserve">santosh rathore </t>
  </si>
  <si>
    <t>ABUBAKAR KHATRI</t>
  </si>
  <si>
    <t>Vineet Patel</t>
  </si>
  <si>
    <t>SANJIVANI</t>
  </si>
  <si>
    <t>08.09.2026</t>
  </si>
  <si>
    <t>DIDI NIGHT WEAR</t>
  </si>
  <si>
    <t>AYAJ KHAN</t>
  </si>
  <si>
    <t>AHSAAN ZAHEER QURESHI</t>
  </si>
  <si>
    <t>SHYAM SPARES</t>
  </si>
  <si>
    <t>07.09.2026</t>
  </si>
  <si>
    <t>Sanjay Gulya</t>
  </si>
  <si>
    <t>Pankaj kewat</t>
  </si>
  <si>
    <t>vineet patel</t>
  </si>
  <si>
    <t>MISHRILAL VERMA</t>
  </si>
  <si>
    <t>03.09.2026</t>
  </si>
  <si>
    <t xml:space="preserve">vineet patel </t>
  </si>
  <si>
    <t>NAVKAR SAREE EMPORIUM</t>
  </si>
  <si>
    <t>NARENDRA JAISWAL</t>
  </si>
  <si>
    <t>RAVINDRA VERMA</t>
  </si>
  <si>
    <t>SHIV NARMADESHWAR SHIVLING</t>
  </si>
  <si>
    <t>Rahul</t>
  </si>
  <si>
    <t xml:space="preserve">vineet Patel </t>
  </si>
  <si>
    <t>SANJAY VERMA</t>
  </si>
  <si>
    <t>Ratlam</t>
  </si>
  <si>
    <t>Bank of Baroda jaora branch</t>
  </si>
  <si>
    <t>Speed Post Document</t>
  </si>
  <si>
    <t>Abhishek Malviye</t>
  </si>
  <si>
    <t>DIVINE FEMME</t>
  </si>
  <si>
    <t>India Post Parcel Contractual</t>
  </si>
  <si>
    <t>Advance</t>
  </si>
  <si>
    <t>Kashi Saree</t>
  </si>
  <si>
    <t>Jay Dhakad</t>
  </si>
  <si>
    <t>21.05.2026</t>
  </si>
  <si>
    <t>vithalesh sarees</t>
  </si>
  <si>
    <t>18.08.2026</t>
  </si>
  <si>
    <t>Sehore</t>
  </si>
  <si>
    <t>Bank of India Krishi Upaj Mandi</t>
  </si>
  <si>
    <t>04.05.2026</t>
  </si>
  <si>
    <t>Ayush Gupta</t>
  </si>
  <si>
    <t>SARTHAK ENTERPRISES</t>
  </si>
  <si>
    <t>Rang Varsha Sarees</t>
  </si>
  <si>
    <t>29.05.2026</t>
  </si>
  <si>
    <t>10.09.2026</t>
  </si>
  <si>
    <t>SBI Rajwada Chowk</t>
  </si>
  <si>
    <t>Kavita Bhuriya</t>
  </si>
  <si>
    <t>HDFC BANK JHABUA BRANCH</t>
  </si>
  <si>
    <t>11.06.2026</t>
  </si>
  <si>
    <t>HEMANT BAGHEL</t>
  </si>
  <si>
    <t xml:space="preserve">Divy Narayan Soni </t>
  </si>
  <si>
    <t>Speed Post Parcel Contractual</t>
  </si>
  <si>
    <t>Kunal Baurasi</t>
  </si>
  <si>
    <t>JADUI DHAGE</t>
  </si>
  <si>
    <t>PANCHAL HOTELWARE AND MACHINARY Lohar road Ratlam</t>
  </si>
  <si>
    <t>16.07.2026</t>
  </si>
  <si>
    <t>Union Bank of India</t>
  </si>
  <si>
    <t>Puneet Enterprises</t>
  </si>
  <si>
    <t>25.04.2026</t>
  </si>
  <si>
    <t>DEEPIKA VERMA</t>
  </si>
  <si>
    <t>Sai Services</t>
  </si>
  <si>
    <t>25.06.2026</t>
  </si>
  <si>
    <t>State Bank of India</t>
  </si>
  <si>
    <t>SINDAL AND COMPANY</t>
  </si>
  <si>
    <t>Spare Outlet Krishna Soni</t>
  </si>
  <si>
    <t>02.09.2026</t>
  </si>
  <si>
    <t>NEELESH VERMA</t>
  </si>
  <si>
    <t>Arihant Imitation</t>
  </si>
  <si>
    <t>Surendra Singh</t>
  </si>
  <si>
    <t>Amit Raj Singh Kushwah</t>
  </si>
  <si>
    <t>CHETNA TAILOR</t>
  </si>
  <si>
    <t>29.07.2026</t>
  </si>
  <si>
    <t>Divya Gound</t>
  </si>
  <si>
    <t>HARDIK BARMECHA</t>
  </si>
  <si>
    <t>MANMEET SAREES</t>
  </si>
  <si>
    <t>punam rathore</t>
  </si>
  <si>
    <t>16.08.2026</t>
  </si>
  <si>
    <t>NAKODA NX Ratlam</t>
  </si>
  <si>
    <t>STATE BANK OF INDIA</t>
  </si>
  <si>
    <t>25.08.2026</t>
  </si>
  <si>
    <t>Shree Ji Collection</t>
  </si>
  <si>
    <t>Khabiya Cloth Store</t>
  </si>
  <si>
    <t>19.08.2026</t>
  </si>
  <si>
    <t xml:space="preserve">chirag  prodocut </t>
  </si>
  <si>
    <t>Ashu Collection</t>
  </si>
  <si>
    <t>Shivna Prakashan</t>
  </si>
  <si>
    <t>Ashok Jatiya</t>
  </si>
  <si>
    <t>14.08.2026</t>
  </si>
  <si>
    <t>Dr. R.K. Brajpuriya</t>
  </si>
  <si>
    <t>Vrashank</t>
  </si>
  <si>
    <t>Vaidh Kapil Sharma</t>
  </si>
  <si>
    <t>Fashion Mafia</t>
  </si>
  <si>
    <t>CANARA BANK</t>
  </si>
  <si>
    <t>Dr. Anish Baran Basu</t>
  </si>
  <si>
    <t>GP Sports</t>
  </si>
  <si>
    <t>UNION BANK OF INDIA</t>
  </si>
  <si>
    <t>CHANDRAKANT TRIPATHI</t>
  </si>
  <si>
    <t>YOGESH MEWADE ADVOCATE</t>
  </si>
  <si>
    <t>PUNJAB NATIONAL BANK</t>
  </si>
  <si>
    <t>13.07.2026</t>
  </si>
  <si>
    <t>MADHUR COURIER SERVICE</t>
  </si>
  <si>
    <t>RAJENDRA PUSHPAD</t>
  </si>
  <si>
    <t>Rajan Law Chamber</t>
  </si>
  <si>
    <t>HIMMAT SINGH</t>
  </si>
  <si>
    <t>VIVEK COMPUTER</t>
  </si>
  <si>
    <t>Supridentendent Of Police Sehore</t>
  </si>
  <si>
    <t>Punjab National Bank Naplakhedi</t>
  </si>
  <si>
    <t>23.07.2026</t>
  </si>
  <si>
    <t>JILA SHKARI KENDRIYA BANK</t>
  </si>
  <si>
    <t>06.08.2026</t>
  </si>
  <si>
    <t>Bank Of Baroda Sehore</t>
  </si>
  <si>
    <t>08.07.2026</t>
  </si>
  <si>
    <t>Jitesh kumar Godani</t>
  </si>
  <si>
    <t>Punjab National Bank, Main Branch Bus stand, Sehore</t>
  </si>
  <si>
    <t>19.06.2026</t>
  </si>
  <si>
    <t>Mahila kisan crop producer company limited</t>
  </si>
  <si>
    <t>Heeramani Nagar Ajivika Rural mart</t>
  </si>
  <si>
    <t>09.06.2026</t>
  </si>
  <si>
    <t>UCO BANK</t>
  </si>
  <si>
    <t>Babita Thakur Lakshya Collection</t>
  </si>
  <si>
    <t>04.06.2026</t>
  </si>
  <si>
    <t>Central Silver Plant Sehore</t>
  </si>
  <si>
    <t>Anil Kumar Sen</t>
  </si>
  <si>
    <t>26.05.2026</t>
  </si>
  <si>
    <t>Devrishi Gohiya</t>
  </si>
  <si>
    <t>Sachin Khandelwal</t>
  </si>
  <si>
    <t>Bhagwan Singh Meena</t>
  </si>
  <si>
    <t>Krishna Chouhan</t>
  </si>
  <si>
    <t>Dilip kumar rathore prem mobile</t>
  </si>
  <si>
    <t>RAJGHARANA RAJPUTI POSHAK</t>
  </si>
  <si>
    <t>NUTRAACELLS PRIVATE LIMITED</t>
  </si>
  <si>
    <t>14.05.2026</t>
  </si>
  <si>
    <t>S S Marketing</t>
  </si>
  <si>
    <t>Acharya Pt. Amit Tiwari</t>
  </si>
  <si>
    <t>DINESH GUPTA</t>
  </si>
  <si>
    <t>State Bank of India ACB Branch Sehore</t>
  </si>
  <si>
    <t>06.05.2026</t>
  </si>
  <si>
    <t>Jila Sahakari Kendriya Bank mydt Sehore</t>
  </si>
  <si>
    <t>Punjab National Bank E OBC</t>
  </si>
  <si>
    <t>05.05.2026</t>
  </si>
  <si>
    <t>nayanthara showroom</t>
  </si>
  <si>
    <t>29.09.2026</t>
  </si>
  <si>
    <t>Rajendra pushpad</t>
  </si>
  <si>
    <t>Mandsaur</t>
  </si>
  <si>
    <t>THE GLOBUS SHOES</t>
  </si>
  <si>
    <t>Shri Yash Mittal</t>
  </si>
  <si>
    <t>shree shyam agro international</t>
  </si>
  <si>
    <t>JAI AMBE AGRO</t>
  </si>
  <si>
    <t>D COLLECTION</t>
  </si>
  <si>
    <t>BE NONSENSE</t>
  </si>
  <si>
    <t>AKSHAY CREDIT COOPERATIVE SOCIETY LIMITED</t>
  </si>
  <si>
    <t>Shri Vishal Soni</t>
  </si>
  <si>
    <t>MERY SLATE PEN WORKS</t>
  </si>
  <si>
    <t>CENTRAL BANK OF INIDA MANDSAUR BRANCH</t>
  </si>
  <si>
    <t>ARHAM TRADING COMPANY</t>
  </si>
  <si>
    <t>PANKAJ PATIDAR</t>
  </si>
  <si>
    <t>SONI MEDICOSE</t>
  </si>
  <si>
    <t>RANGREZ</t>
  </si>
  <si>
    <t>CHANDAN CHISHTI TRADERS</t>
  </si>
  <si>
    <t>MS PARIVESH</t>
  </si>
  <si>
    <t>Sinhal Herbs</t>
  </si>
  <si>
    <t>RAJ AND COMPANY</t>
  </si>
  <si>
    <t>PRISH JEWELS</t>
  </si>
  <si>
    <t>MS MINERALS AND FOODS</t>
  </si>
  <si>
    <t>JAIN TRADING COMPANY</t>
  </si>
  <si>
    <t>Vajpayee machinaries</t>
  </si>
  <si>
    <t>MADHUR COURIR</t>
  </si>
  <si>
    <t>State Bank of India Nai Abadi Mandsaur</t>
  </si>
  <si>
    <t>NAZMI ARMY GENERAL STORE</t>
  </si>
  <si>
    <t>MLT EDUCATION POINT</t>
  </si>
  <si>
    <t>BLUE SKY COURIER</t>
  </si>
  <si>
    <t>dhani decor</t>
  </si>
  <si>
    <t>SUNDAR SADIJ</t>
  </si>
  <si>
    <t>Union Bank of India Opp Vishal Mega Mart</t>
  </si>
  <si>
    <t>VigorLifts</t>
  </si>
  <si>
    <t>KRSHAK EXPORTS</t>
  </si>
  <si>
    <t>State Bank of India Shamgarh</t>
  </si>
  <si>
    <t>Bharat boot house</t>
  </si>
  <si>
    <t>Shadab Cut Piss</t>
  </si>
  <si>
    <t>Shanti slate pen</t>
  </si>
  <si>
    <t>Madhya Bharat Ceramic</t>
  </si>
  <si>
    <t>SHRI KEDAR ART GALLERY</t>
  </si>
  <si>
    <t>ARSHIN INTERPRIZES</t>
  </si>
  <si>
    <t>IBRAHIM MULLA RASULJI</t>
  </si>
  <si>
    <t>SP SALES PROP SAYYAD SHABAZ</t>
  </si>
  <si>
    <t>ARIHANT GARMENTS</t>
  </si>
  <si>
    <t>PRIYADARSHAN ENTERPRISES</t>
  </si>
  <si>
    <t>DHANI DECORE</t>
  </si>
  <si>
    <t>Rajasthani Vastralay</t>
  </si>
  <si>
    <t>MAA BANESHWARI MOBILE</t>
  </si>
  <si>
    <t>raj bag and aarmi store</t>
  </si>
  <si>
    <t>blue sky courier</t>
  </si>
  <si>
    <t>agrwal ges service</t>
  </si>
  <si>
    <t>SONI WORLD SLATES</t>
  </si>
  <si>
    <t>Choice herbs</t>
  </si>
  <si>
    <t>State Bank of India Garoth</t>
  </si>
  <si>
    <t>SHREE NALCHA MATA VASTRALAYA EVAM SAMAGRY</t>
  </si>
  <si>
    <t>M/S PARIVESH</t>
  </si>
  <si>
    <t>Oswal Marketing</t>
  </si>
  <si>
    <t>PORWAL DESIGNER</t>
  </si>
  <si>
    <t>JAYA HARBAL PRODUCTS</t>
  </si>
  <si>
    <t>MANDSAUR SPORTS</t>
  </si>
  <si>
    <t>CASA DE AMOR</t>
  </si>
  <si>
    <t>RD NATURAL STONES</t>
  </si>
  <si>
    <t>LAYER 3 ACADEMY</t>
  </si>
  <si>
    <t>Ajeet kothari herbs company</t>
  </si>
  <si>
    <t>GANDHI JAIN KARYALAY</t>
  </si>
  <si>
    <t>AXIS BANK BHANPURA</t>
  </si>
  <si>
    <t>PRAFULL BEEJ BHANDAR</t>
  </si>
  <si>
    <t>TOSIF ENTERPRISES</t>
  </si>
  <si>
    <t>Patidar agro</t>
  </si>
  <si>
    <t>GALAXY ELECTRIC AND ELECTRONICS</t>
  </si>
  <si>
    <t>RAJ BAG AND AARMI STORE</t>
  </si>
  <si>
    <t>Coin adda</t>
  </si>
  <si>
    <t>ADINATH TRADING COMPANY</t>
  </si>
  <si>
    <t>SATYA SHREE FASHION</t>
  </si>
  <si>
    <t>Shri bhadavamata prakashan</t>
  </si>
  <si>
    <t>Safal herbal ayurveda</t>
  </si>
  <si>
    <t>Krishna dudh dairy and kirana</t>
  </si>
  <si>
    <t>TIARA RIDAS</t>
  </si>
  <si>
    <t>Shivalaya graphics</t>
  </si>
  <si>
    <t>Parag Fragrances</t>
  </si>
  <si>
    <t>Pawan Banga</t>
  </si>
  <si>
    <t>Ajay Kumar Sharma</t>
  </si>
  <si>
    <t>Babji Trading</t>
  </si>
  <si>
    <t>Siya Herbal Product</t>
  </si>
  <si>
    <t>BHAGIRATH ORGANICS</t>
  </si>
  <si>
    <t>matchline electronics</t>
  </si>
  <si>
    <t>Sealwell Neemuch</t>
  </si>
  <si>
    <t>Pm shri kendriya vidyalaya crpf Neemuch</t>
  </si>
  <si>
    <t>POEMS</t>
  </si>
  <si>
    <t>SHREE SURBHI DHOOP EVAM VEDLAKSHANA GOMATA KA DESHI GHEE</t>
  </si>
  <si>
    <t>GULF TOURS AND TRAVELS</t>
  </si>
  <si>
    <t>VIRAT SLATE PENCIL</t>
  </si>
  <si>
    <t>SHUBHAM SAREE CENTER</t>
  </si>
  <si>
    <t>THE GOLD FABRICS</t>
  </si>
  <si>
    <t>Shree shyam agro international</t>
  </si>
  <si>
    <t>Ajay trading company</t>
  </si>
  <si>
    <t>SBI Khadawada</t>
  </si>
  <si>
    <t>Central Bank of India Shamgarh</t>
  </si>
  <si>
    <t>Kanha Collection</t>
  </si>
  <si>
    <t>Vinod tailor</t>
  </si>
  <si>
    <t>NEEMUCH SPICES LLP</t>
  </si>
  <si>
    <t>Ujjain</t>
  </si>
  <si>
    <t xml:space="preserve">shakha prabandhak union bank of india </t>
  </si>
  <si>
    <t>bnpl-speed post</t>
  </si>
  <si>
    <t>Anil kumar kayasth</t>
  </si>
  <si>
    <t xml:space="preserve">Shakha prabandhak mohday bhartiy state bankn agar </t>
  </si>
  <si>
    <t>Bal krishna veshnav jay jagnant courier</t>
  </si>
  <si>
    <t>advance customer</t>
  </si>
  <si>
    <t>shakha prabandhak mohday kenra bank agar</t>
  </si>
  <si>
    <t>shakha prabandhak idbi bank kota road agar</t>
  </si>
  <si>
    <t>Principal mohday kendriy vidhyalay agar</t>
  </si>
  <si>
    <t xml:space="preserve">Principal politachnical college ujjain road agar </t>
  </si>
  <si>
    <t>Shakha prabandhak bank of india soyatkalan</t>
  </si>
  <si>
    <t>Shakha prabandhak bhartiya state bank soyatkalan</t>
  </si>
  <si>
    <t>Shakha prabandhak bhartiya state bank barode</t>
  </si>
  <si>
    <t>Shakha prabandhak bank of india barode</t>
  </si>
  <si>
    <t xml:space="preserve">  STATE BANK OF INDIA MAKSI</t>
  </si>
  <si>
    <t>BNPL speed post</t>
  </si>
  <si>
    <t>DURGA SHANKAR GARASIYA</t>
  </si>
  <si>
    <t>SHAJAPUR FISHING TACKLE</t>
  </si>
  <si>
    <t>INDIAPOST PARCEL CONTRACTUAL</t>
  </si>
  <si>
    <t>STATE BANK OF INDIA MAKSI</t>
  </si>
  <si>
    <t>SAROVAR SARESS AND LEHANGA</t>
  </si>
  <si>
    <t xml:space="preserve">INDIA POST PARCEL CONTRACTUAL </t>
  </si>
  <si>
    <t>PADMAVATI RAJPUTI PARIDHAN</t>
  </si>
  <si>
    <t xml:space="preserve">INDIAPOST PARCEL CONTRACTUAL </t>
  </si>
  <si>
    <t>MPAS EDUCATION</t>
  </si>
  <si>
    <t>INDRAJEET PANDEY</t>
  </si>
  <si>
    <t>ALHIZAAU_HOUSE</t>
  </si>
  <si>
    <t>SHAGUN SAREE</t>
  </si>
  <si>
    <t xml:space="preserve">SHALLY ENTERPRISES </t>
  </si>
  <si>
    <t xml:space="preserve">SPEED POST AND PARCEL CONTRACTUAL </t>
  </si>
  <si>
    <t>UNION BANK</t>
  </si>
  <si>
    <t>BNPL SPEED POST</t>
  </si>
  <si>
    <t xml:space="preserve">BNPL SPEED </t>
  </si>
  <si>
    <t>SHRIJI VASTRALAYA TARANA</t>
  </si>
  <si>
    <t>parcel contractual</t>
  </si>
  <si>
    <t>RADHIKA SAREE TARANA</t>
  </si>
  <si>
    <t xml:space="preserve">parcel contractual </t>
  </si>
  <si>
    <t>RADHIKA SAREE MAKSI</t>
  </si>
  <si>
    <t>PAAMAS HL BAL PVT LTD</t>
  </si>
  <si>
    <t>SARTHAK PURFUME SHAJAPUR</t>
  </si>
  <si>
    <t>GETSABACUS SHUJALPUR</t>
  </si>
  <si>
    <t>16.07.26</t>
  </si>
  <si>
    <t>ADVANCED CUSTOMER</t>
  </si>
  <si>
    <t>HARSHIT PARMAR</t>
  </si>
  <si>
    <t>DIWAN SINGH RAJPUT</t>
  </si>
  <si>
    <t>20.07.26</t>
  </si>
  <si>
    <t>SBI POLAI KALAN</t>
  </si>
  <si>
    <t>03.08.26</t>
  </si>
  <si>
    <t>THE GOLDEN STRAW SALSALAI</t>
  </si>
  <si>
    <t>08.08.26</t>
  </si>
  <si>
    <t>BANK OF INDIA SHUJALPUR</t>
  </si>
  <si>
    <t>14.08.26</t>
  </si>
  <si>
    <t>MANISH VISHWAKARMA, SHUJALPUR</t>
  </si>
  <si>
    <t>21.08.26</t>
  </si>
  <si>
    <t>Virendra pa</t>
  </si>
  <si>
    <t>RAHUL AGRAWAL</t>
  </si>
  <si>
    <t>jay makwana</t>
  </si>
  <si>
    <t>Divyanshu Khatri</t>
  </si>
  <si>
    <t>SHRI COLLECTION Customer ID::</t>
  </si>
  <si>
    <t>MOHIT SINGH PANWAR</t>
  </si>
  <si>
    <t>ANIKET AGRAWAL</t>
  </si>
  <si>
    <t>KUNWAR SA WEDDING STORE</t>
  </si>
  <si>
    <t>TANA BANA BOUTIQUE</t>
  </si>
  <si>
    <t>DESIALCHEMIST</t>
  </si>
  <si>
    <t>PARWATI HANDLOOM</t>
  </si>
  <si>
    <t>KAMAL PATIDAR</t>
  </si>
  <si>
    <t>ROOP SHREE FASHION</t>
  </si>
  <si>
    <t>YASH RATHORE</t>
  </si>
  <si>
    <t>SBI MAHANANDA NAGAR</t>
  </si>
  <si>
    <t>PRIT UNDER GARMENTS</t>
  </si>
  <si>
    <t>JODHPUR RAJWADI COLLECTION</t>
  </si>
  <si>
    <t>sanwariya saree</t>
  </si>
  <si>
    <t>MOHAMMAD IMRAN</t>
  </si>
  <si>
    <t>MAHAKAL ASTRO OPC PRIVATE LIMITED</t>
  </si>
  <si>
    <t>AARADHYA BAIRAGI</t>
  </si>
  <si>
    <t>BIGINIT TECHNOLOGIES LLP</t>
  </si>
  <si>
    <t>Mahalaxmi Collection</t>
  </si>
  <si>
    <t>MOHIT SINGH PAWAR</t>
  </si>
  <si>
    <t>Nakoda Industries</t>
  </si>
  <si>
    <t>Rashmi Vyas</t>
  </si>
  <si>
    <t>SIXTH SENSE MARKETING PVT LTD</t>
  </si>
  <si>
    <t>Burhanuuddin Bagwala</t>
  </si>
  <si>
    <t>AUGUST</t>
  </si>
  <si>
    <t>GAGAN YOGI</t>
  </si>
  <si>
    <t>ayurved panchkaram centre</t>
  </si>
  <si>
    <t>mohit goyal</t>
  </si>
  <si>
    <t>VINOD PORWAL</t>
  </si>
  <si>
    <t>Gauv aadi shakti Private limited</t>
  </si>
  <si>
    <t>International society for Krishna consciousness</t>
  </si>
  <si>
    <t>VINOD KHABIYA</t>
  </si>
  <si>
    <t>From Date 01.04.2026 to 31.09.2026</t>
  </si>
  <si>
    <t>KIRTI AKODIYA</t>
  </si>
  <si>
    <t>SHIVAM RATHORE</t>
  </si>
  <si>
    <t>ALPHABETICA TRADERS AND SERVICES LLP</t>
  </si>
  <si>
    <t>RMS ID Dn</t>
  </si>
  <si>
    <t>ALL MAHARASHTRA LAW REPORTER</t>
  </si>
  <si>
    <t>BOM IND COURIER</t>
  </si>
  <si>
    <t>Magazine Post</t>
  </si>
  <si>
    <t>Narendra Baviskar</t>
  </si>
  <si>
    <t>Income Tax judgements</t>
  </si>
  <si>
    <t>CHERRY CLOSET</t>
  </si>
  <si>
    <t>lucky xerox</t>
  </si>
  <si>
    <t>jion media publications</t>
  </si>
  <si>
    <t>Sewa Satkaar</t>
  </si>
  <si>
    <t>SATYADHI SHARMA CLASSES</t>
  </si>
  <si>
    <t>RISHABH SINGH GOUR</t>
  </si>
  <si>
    <t>Annapurna collection</t>
  </si>
  <si>
    <t>SHREE KALOTA PATEL PUSHP</t>
  </si>
  <si>
    <t>NIRMAN IAS</t>
  </si>
  <si>
    <t>Artnaturale</t>
  </si>
  <si>
    <t>Eye gear optics india private limited</t>
  </si>
  <si>
    <t>BLACK HOUSE</t>
  </si>
  <si>
    <t>AKSHAY ENGINEERING</t>
  </si>
  <si>
    <t>Aishwarya Dubey</t>
  </si>
  <si>
    <t>DELIGHTS ELECTRICALS PRIVATE LIMITED</t>
  </si>
  <si>
    <t>Speed Post ParcelÂ Domestic</t>
  </si>
  <si>
    <t>TAX LAW DECISIONS</t>
  </si>
  <si>
    <t>India phosphate and allied industries Private limited</t>
  </si>
  <si>
    <t>GYAN PUBLICATIN</t>
  </si>
  <si>
    <t>Your Fashion Store</t>
  </si>
  <si>
    <t>A2U-ACADAMY OF ACHIEVERS /C/O KARMA IAS</t>
  </si>
  <si>
    <t>Dr Yogesh Patidar</t>
  </si>
  <si>
    <t>SIMRAN NUTRIFOODS LTD</t>
  </si>
  <si>
    <t>Sansa Healthcare</t>
  </si>
  <si>
    <t>MAHESH BANSAL</t>
  </si>
  <si>
    <t>MASTER MACHINES</t>
  </si>
  <si>
    <t>AYAN PATEL</t>
  </si>
  <si>
    <t>KUNDAN ART JEWELLERS</t>
  </si>
  <si>
    <t>SHREE HORI METALS</t>
  </si>
  <si>
    <t>SARASWATI BAL KALYAN NYAS</t>
  </si>
  <si>
    <t>Mayank Parmar</t>
  </si>
  <si>
    <t>SAPTSHRUNGI CREATIONS</t>
  </si>
  <si>
    <t>hagnos marketing and consulting pvt ltd</t>
  </si>
  <si>
    <t>Harsh Ujjainiya</t>
  </si>
  <si>
    <t>THEFEARLESSTORE</t>
  </si>
  <si>
    <t>International EMS Document</t>
  </si>
  <si>
    <t>Malwa Harbal Heena</t>
  </si>
  <si>
    <t>Creative printers</t>
  </si>
  <si>
    <t>SMELL KILL</t>
  </si>
  <si>
    <t>DHERAJ AHUJA</t>
  </si>
  <si>
    <t>Seva Satkar</t>
  </si>
  <si>
    <t>xcess infostore private limited</t>
  </si>
  <si>
    <t>PARTH COLECTION</t>
  </si>
  <si>
    <t>Digvijay Parashar</t>
  </si>
  <si>
    <t>badshah tools centere</t>
  </si>
  <si>
    <t>Abhishek Sharma</t>
  </si>
  <si>
    <t>saiyyad shiraj ali iron legends</t>
  </si>
  <si>
    <t>Abhiksha The Saree Queen</t>
  </si>
  <si>
    <t>PRIYA KUMARI JAIN</t>
  </si>
  <si>
    <t>Darzibabu</t>
  </si>
  <si>
    <t>BUSHRA ANJUM</t>
  </si>
  <si>
    <t>PARIDHI VATNANI</t>
  </si>
  <si>
    <t>HOB STORES INDIA PRIVATE LIMITED</t>
  </si>
  <si>
    <t>ABHIJEET SINGH PANWAR MAHENDRA JI</t>
  </si>
  <si>
    <t>ATUL K GARG</t>
  </si>
  <si>
    <t>AISH BY AISHWARYA</t>
  </si>
  <si>
    <t>MONISHKA TIWARI</t>
  </si>
  <si>
    <t>FAST AND RIGHT MINI</t>
  </si>
  <si>
    <t>MUMTAZ BATIK</t>
  </si>
  <si>
    <t>INDO SCAN</t>
  </si>
  <si>
    <t>veena masik patrika</t>
  </si>
  <si>
    <t>sorabh ramteke</t>
  </si>
  <si>
    <t>DEVIYAANA ETHNICS</t>
  </si>
  <si>
    <t>AAKASH TREDARS</t>
  </si>
  <si>
    <t>KANKAMAL SANGHVI PARMARTHIK TRUST</t>
  </si>
  <si>
    <t>THE ACADEMICIAN</t>
  </si>
  <si>
    <t>05.09.2026</t>
  </si>
  <si>
    <t>FAKRUDDIN LUKMANI</t>
  </si>
  <si>
    <t>SHRI DIGAMBER JAIN YUVAK SANGH</t>
  </si>
  <si>
    <t>11.09.2026</t>
  </si>
  <si>
    <t>GAMBHIR ENTERPRISES</t>
  </si>
  <si>
    <t>17.09.2026</t>
  </si>
  <si>
    <t>Speed Post,Indiapost Parcel Contractual</t>
  </si>
  <si>
    <t>RUHI BANO W/O JAHID KHAN</t>
  </si>
  <si>
    <t>JMD ENTERPRISES</t>
  </si>
  <si>
    <t>25.09.2026</t>
  </si>
  <si>
    <t>NEW ANMOL COSMETICS</t>
  </si>
  <si>
    <t>26.09.2026</t>
  </si>
  <si>
    <t>BIYANI INDUSTRIAL TEXTILES PVT .LTD</t>
  </si>
  <si>
    <t>ORIGIN EXPRESS SERVICES</t>
  </si>
  <si>
    <t>28.09.2026</t>
  </si>
  <si>
    <t>D B M S &amp; Co</t>
  </si>
  <si>
    <t>M/S 3G AQUA WATER TREATMENT TECHNOLOGY</t>
  </si>
  <si>
    <t>SKASHI JETHANI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</si>
</sst>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d\-mm\-yyyy"/>
    <numFmt numFmtId="166" formatCode="dd\-mm\-yy"/>
    <numFmt numFmtId="167" formatCode="dd/mm"/>
  </numFmts>
  <fonts count="19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Times New Roman"/>
    </font>
    <font>
      <sz val="19"/>
      <color theme="1"/>
      <name val="'Segoe UI'"/>
    </font>
    <font>
      <sz val="18"/>
      <color theme="1"/>
      <name val="Calibri"/>
    </font>
    <font>
      <sz val="10"/>
      <name val="Arial"/>
    </font>
    <font>
      <sz val="20"/>
      <color theme="1"/>
      <name val="'Segoe UI'"/>
    </font>
    <font>
      <sz val="14"/>
      <color theme="1"/>
      <name val="'Segoe UI'"/>
    </font>
    <font>
      <sz val="11"/>
      <color theme="1"/>
      <name val="'Segoe UI'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Arial"/>
    </font>
    <font>
      <sz val="18"/>
      <color theme="1"/>
      <name val="'Segoe UI'"/>
    </font>
    <font>
      <sz val="9"/>
      <color rgb="FF000000"/>
      <name val="&quot;Noto Sans&quot;"/>
    </font>
    <font>
      <sz val="11"/>
      <color rgb="FF1F1F1F"/>
      <name val="Arial"/>
    </font>
    <font>
      <sz val="12"/>
      <color rgb="FF000000"/>
      <name val="&quot;Times New Roman&quot;"/>
    </font>
    <font>
      <sz val="11"/>
      <color rgb="FF000000"/>
      <name val="&quot;Aptos Narrow&quot;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6F6F6"/>
        <bgColor rgb="FFF6F6F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8" fillId="0" borderId="1" xfId="0" applyFont="1" applyBorder="1" applyAlignment="1">
      <alignment horizontal="center"/>
    </xf>
    <xf numFmtId="0" fontId="9" fillId="4" borderId="1" xfId="0" applyFont="1" applyFill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/>
    <xf numFmtId="0" fontId="11" fillId="0" borderId="0" xfId="0" applyFont="1"/>
    <xf numFmtId="0" fontId="11" fillId="0" borderId="2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11" fillId="0" borderId="1" xfId="0" applyFont="1" applyBorder="1"/>
    <xf numFmtId="0" fontId="1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4" fillId="0" borderId="1" xfId="0" applyFont="1" applyBorder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164" fontId="11" fillId="0" borderId="0" xfId="0" applyNumberFormat="1" applyFont="1"/>
    <xf numFmtId="165" fontId="14" fillId="5" borderId="1" xfId="0" applyNumberFormat="1" applyFont="1" applyFill="1" applyBorder="1" applyAlignment="1">
      <alignment horizontal="center"/>
    </xf>
    <xf numFmtId="164" fontId="1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165" fontId="15" fillId="0" borderId="1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7" fontId="1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right"/>
    </xf>
    <xf numFmtId="0" fontId="10" fillId="6" borderId="1" xfId="0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65" fontId="17" fillId="8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0" fillId="0" borderId="0" xfId="0"/>
    <xf numFmtId="0" fontId="6" fillId="3" borderId="2" xfId="0" applyFont="1" applyFill="1" applyBorder="1" applyAlignment="1">
      <alignment horizontal="center"/>
    </xf>
    <xf numFmtId="0" fontId="5" fillId="0" borderId="4" xfId="0" applyFont="1" applyBorder="1"/>
    <xf numFmtId="0" fontId="7" fillId="3" borderId="0" xfId="0" applyFont="1" applyFill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8"/>
  <sheetViews>
    <sheetView workbookViewId="0">
      <selection sqref="A1:B1"/>
    </sheetView>
  </sheetViews>
  <sheetFormatPr defaultColWidth="12.6640625" defaultRowHeight="15.75" customHeight="1"/>
  <cols>
    <col min="1" max="1" width="20.109375" customWidth="1"/>
    <col min="4" max="4" width="25.109375" customWidth="1"/>
    <col min="5" max="5" width="17.88671875" customWidth="1"/>
    <col min="10" max="10" width="36" customWidth="1"/>
    <col min="11" max="11" width="15.33203125" customWidth="1"/>
  </cols>
  <sheetData>
    <row r="1" spans="1:11" ht="15.75" customHeight="1">
      <c r="A1" s="52" t="s">
        <v>1</v>
      </c>
      <c r="B1" s="53"/>
      <c r="D1" s="54" t="s">
        <v>4</v>
      </c>
      <c r="E1" s="55"/>
      <c r="J1" s="56" t="s">
        <v>11</v>
      </c>
      <c r="K1" s="53"/>
    </row>
    <row r="2" spans="1:11">
      <c r="A2" s="4" t="s">
        <v>13</v>
      </c>
      <c r="B2" s="4">
        <f ca="1">COUNTA('Master sheet'!C:C)-1</f>
        <v>578</v>
      </c>
      <c r="C2" s="11"/>
      <c r="D2" s="4" t="str">
        <f ca="1">IFERROR(__xludf.DUMMYFUNCTION("QUERY('Master sheet'!A:H,""select H,count(H) where H is not null group by H label count(H) 'Customers Onboarded'"",1)"),"Name of ME Who Onboarded")</f>
        <v>Name of ME Who Onboarded</v>
      </c>
      <c r="E2" s="10" t="str">
        <f ca="1">IFERROR(__xludf.DUMMYFUNCTION("""COMPUTED_VALUE"""),"Customers Onboarded")</f>
        <v>Customers Onboarded</v>
      </c>
      <c r="F2" s="11"/>
      <c r="J2" s="4" t="str">
        <f ca="1">IFERROR(__xludf.DUMMYFUNCTION("QUERY('Master sheet'!A:H,""select F,count(F) where F is not null group by F"",1)"),"Product Type")</f>
        <v>Product Type</v>
      </c>
      <c r="K2" s="10" t="str">
        <f ca="1">IFERROR(__xludf.DUMMYFUNCTION("""COMPUTED_VALUE"""),"count Product Type")</f>
        <v>count Product Type</v>
      </c>
    </row>
    <row r="3" spans="1:11">
      <c r="A3" s="10"/>
      <c r="B3" s="10"/>
      <c r="C3" s="11"/>
      <c r="D3" s="10" t="str">
        <f ca="1">IFERROR(__xludf.DUMMYFUNCTION("""COMPUTED_VALUE"""),"Abhishek Malviye")</f>
        <v>Abhishek Malviye</v>
      </c>
      <c r="E3" s="10">
        <f ca="1">IFERROR(__xludf.DUMMYFUNCTION("""COMPUTED_VALUE"""),5)</f>
        <v>5</v>
      </c>
      <c r="F3" s="11"/>
      <c r="J3" s="10" t="str">
        <f ca="1">IFERROR(__xludf.DUMMYFUNCTION("""COMPUTED_VALUE"""),"ADVANCED CUSTOMER")</f>
        <v>ADVANCED CUSTOMER</v>
      </c>
      <c r="K3" s="10">
        <f ca="1">IFERROR(__xludf.DUMMYFUNCTION("""COMPUTED_VALUE"""),72)</f>
        <v>72</v>
      </c>
    </row>
    <row r="4" spans="1:11">
      <c r="A4" s="4" t="s">
        <v>41</v>
      </c>
      <c r="B4" s="4">
        <f ca="1">COUNTIF('Master sheet'!G:G,"B2B")</f>
        <v>3</v>
      </c>
      <c r="C4" s="11"/>
      <c r="D4" s="10" t="str">
        <f ca="1">IFERROR(__xludf.DUMMYFUNCTION("""COMPUTED_VALUE"""),"Anil kumar kayasth")</f>
        <v>Anil kumar kayasth</v>
      </c>
      <c r="E4" s="10">
        <f ca="1">IFERROR(__xludf.DUMMYFUNCTION("""COMPUTED_VALUE"""),11)</f>
        <v>11</v>
      </c>
      <c r="F4" s="11"/>
      <c r="J4" s="10" t="str">
        <f ca="1">IFERROR(__xludf.DUMMYFUNCTION("""COMPUTED_VALUE"""),"BNPL")</f>
        <v>BNPL</v>
      </c>
      <c r="K4" s="10">
        <f ca="1">IFERROR(__xludf.DUMMYFUNCTION("""COMPUTED_VALUE"""),2)</f>
        <v>2</v>
      </c>
    </row>
    <row r="5" spans="1:11">
      <c r="A5" s="4"/>
      <c r="B5" s="10"/>
      <c r="C5" s="11"/>
      <c r="D5" s="10" t="str">
        <f ca="1">IFERROR(__xludf.DUMMYFUNCTION("""COMPUTED_VALUE"""),"Ashok Jatiya")</f>
        <v>Ashok Jatiya</v>
      </c>
      <c r="E5" s="10">
        <f ca="1">IFERROR(__xludf.DUMMYFUNCTION("""COMPUTED_VALUE"""),1)</f>
        <v>1</v>
      </c>
      <c r="F5" s="11"/>
      <c r="J5" s="10" t="str">
        <f ca="1">IFERROR(__xludf.DUMMYFUNCTION("""COMPUTED_VALUE"""),"BNPL SPEED ")</f>
        <v xml:space="preserve">BNPL SPEED </v>
      </c>
      <c r="K5" s="10">
        <f ca="1">IFERROR(__xludf.DUMMYFUNCTION("""COMPUTED_VALUE"""),1)</f>
        <v>1</v>
      </c>
    </row>
    <row r="6" spans="1:11">
      <c r="A6" s="13" t="s">
        <v>50</v>
      </c>
      <c r="B6" s="4">
        <f ca="1">COUNTIF('Master sheet'!G:G,"B2C")</f>
        <v>575</v>
      </c>
      <c r="C6" s="11"/>
      <c r="D6" s="10" t="str">
        <f ca="1">IFERROR(__xludf.DUMMYFUNCTION("""COMPUTED_VALUE"""),"Ayush Gupta")</f>
        <v>Ayush Gupta</v>
      </c>
      <c r="E6" s="10">
        <f ca="1">IFERROR(__xludf.DUMMYFUNCTION("""COMPUTED_VALUE"""),5)</f>
        <v>5</v>
      </c>
      <c r="F6" s="11"/>
      <c r="J6" s="10" t="str">
        <f ca="1">IFERROR(__xludf.DUMMYFUNCTION("""COMPUTED_VALUE"""),"BNPL SPEED POST")</f>
        <v>BNPL SPEED POST</v>
      </c>
      <c r="K6" s="10">
        <f ca="1">IFERROR(__xludf.DUMMYFUNCTION("""COMPUTED_VALUE"""),1)</f>
        <v>1</v>
      </c>
    </row>
    <row r="7" spans="1:11">
      <c r="A7" s="4"/>
      <c r="B7" s="10"/>
      <c r="C7" s="11"/>
      <c r="D7" s="10" t="str">
        <f ca="1">IFERROR(__xludf.DUMMYFUNCTION("""COMPUTED_VALUE"""),"BRIJESH SHRIVAS")</f>
        <v>BRIJESH SHRIVAS</v>
      </c>
      <c r="E7" s="10">
        <f ca="1">IFERROR(__xludf.DUMMYFUNCTION("""COMPUTED_VALUE"""),9)</f>
        <v>9</v>
      </c>
      <c r="F7" s="11"/>
      <c r="J7" s="10" t="str">
        <f ca="1">IFERROR(__xludf.DUMMYFUNCTION("""COMPUTED_VALUE"""),"BNPL speed post")</f>
        <v>BNPL speed post</v>
      </c>
      <c r="K7" s="10">
        <f ca="1">IFERROR(__xludf.DUMMYFUNCTION("""COMPUTED_VALUE"""),2)</f>
        <v>2</v>
      </c>
    </row>
    <row r="8" spans="1:11">
      <c r="A8" s="4" t="s">
        <v>61</v>
      </c>
      <c r="B8" s="4">
        <f ca="1">COUNTIF('Master sheet'!E:E,TODAY())</f>
        <v>0</v>
      </c>
      <c r="C8" s="11"/>
      <c r="D8" s="10" t="str">
        <f ca="1">IFERROR(__xludf.DUMMYFUNCTION("""COMPUTED_VALUE"""),"DEEPIKA VERMA")</f>
        <v>DEEPIKA VERMA</v>
      </c>
      <c r="E8" s="10">
        <f ca="1">IFERROR(__xludf.DUMMYFUNCTION("""COMPUTED_VALUE"""),2)</f>
        <v>2</v>
      </c>
      <c r="F8" s="11"/>
      <c r="J8" s="10" t="str">
        <f ca="1">IFERROR(__xludf.DUMMYFUNCTION("""COMPUTED_VALUE"""),"FASHION ")</f>
        <v xml:space="preserve">FASHION </v>
      </c>
      <c r="K8" s="10">
        <f ca="1">IFERROR(__xludf.DUMMYFUNCTION("""COMPUTED_VALUE"""),1)</f>
        <v>1</v>
      </c>
    </row>
    <row r="9" spans="1:11">
      <c r="A9" s="10"/>
      <c r="B9" s="10"/>
      <c r="C9" s="11"/>
      <c r="D9" s="10" t="str">
        <f ca="1">IFERROR(__xludf.DUMMYFUNCTION("""COMPUTED_VALUE"""),"DURGA SHANKAR GARASIYA")</f>
        <v>DURGA SHANKAR GARASIYA</v>
      </c>
      <c r="E9" s="10">
        <f ca="1">IFERROR(__xludf.DUMMYFUNCTION("""COMPUTED_VALUE"""),17)</f>
        <v>17</v>
      </c>
      <c r="F9" s="11"/>
      <c r="J9" s="10" t="str">
        <f ca="1">IFERROR(__xludf.DUMMYFUNCTION("""COMPUTED_VALUE"""),"FMCG")</f>
        <v>FMCG</v>
      </c>
      <c r="K9" s="10">
        <f ca="1">IFERROR(__xludf.DUMMYFUNCTION("""COMPUTED_VALUE"""),1)</f>
        <v>1</v>
      </c>
    </row>
    <row r="10" spans="1:11">
      <c r="A10" s="4" t="s">
        <v>68</v>
      </c>
      <c r="B10" s="4">
        <f ca="1">COUNTIFS('Master sheet'!E:E,"&gt;="&amp;EOMONTH(TODAY(),-1)+1,'Master sheet'!E:E,"&lt;="&amp;EOMONTH(TODAY(),0))</f>
        <v>0</v>
      </c>
      <c r="C10" s="11"/>
      <c r="D10" s="10" t="str">
        <f ca="1">IFERROR(__xludf.DUMMYFUNCTION("""COMPUTED_VALUE"""),"HARSHIT PARMAR")</f>
        <v>HARSHIT PARMAR</v>
      </c>
      <c r="E10" s="10">
        <f ca="1">IFERROR(__xludf.DUMMYFUNCTION("""COMPUTED_VALUE"""),6)</f>
        <v>6</v>
      </c>
      <c r="F10" s="11"/>
      <c r="J10" s="10" t="str">
        <f ca="1">IFERROR(__xludf.DUMMYFUNCTION("""COMPUTED_VALUE"""),"HERBVAL PRODUCTS")</f>
        <v>HERBVAL PRODUCTS</v>
      </c>
      <c r="K10" s="10">
        <f ca="1">IFERROR(__xludf.DUMMYFUNCTION("""COMPUTED_VALUE"""),2)</f>
        <v>2</v>
      </c>
    </row>
    <row r="11" spans="1:11">
      <c r="D11" s="10" t="str">
        <f ca="1">IFERROR(__xludf.DUMMYFUNCTION("""COMPUTED_VALUE"""),"HEMANT BAGHEL")</f>
        <v>HEMANT BAGHEL</v>
      </c>
      <c r="E11" s="10">
        <f ca="1">IFERROR(__xludf.DUMMYFUNCTION("""COMPUTED_VALUE"""),4)</f>
        <v>4</v>
      </c>
      <c r="J11" s="10" t="str">
        <f ca="1">IFERROR(__xludf.DUMMYFUNCTION("""COMPUTED_VALUE"""),"INDIA POST PARCEL CONTRACTUAL ")</f>
        <v xml:space="preserve">INDIA POST PARCEL CONTRACTUAL </v>
      </c>
      <c r="K11" s="10">
        <f ca="1">IFERROR(__xludf.DUMMYFUNCTION("""COMPUTED_VALUE"""),2)</f>
        <v>2</v>
      </c>
    </row>
    <row r="12" spans="1:11">
      <c r="D12" s="10" t="str">
        <f ca="1">IFERROR(__xludf.DUMMYFUNCTION("""COMPUTED_VALUE"""),"HIMMAT SINGH")</f>
        <v>HIMMAT SINGH</v>
      </c>
      <c r="E12" s="10">
        <f ca="1">IFERROR(__xludf.DUMMYFUNCTION("""COMPUTED_VALUE"""),22)</f>
        <v>22</v>
      </c>
      <c r="J12" s="10" t="str">
        <f ca="1">IFERROR(__xludf.DUMMYFUNCTION("""COMPUTED_VALUE"""),"INDIAPOST PARCEL CONTRACTUAL")</f>
        <v>INDIAPOST PARCEL CONTRACTUAL</v>
      </c>
      <c r="K12" s="10">
        <f ca="1">IFERROR(__xludf.DUMMYFUNCTION("""COMPUTED_VALUE"""),2)</f>
        <v>2</v>
      </c>
    </row>
    <row r="13" spans="1:11">
      <c r="D13" s="10" t="str">
        <f ca="1">IFERROR(__xludf.DUMMYFUNCTION("""COMPUTED_VALUE"""),"JUNAId khan")</f>
        <v>JUNAId khan</v>
      </c>
      <c r="E13" s="10">
        <f ca="1">IFERROR(__xludf.DUMMYFUNCTION("""COMPUTED_VALUE"""),1)</f>
        <v>1</v>
      </c>
      <c r="J13" s="10" t="str">
        <f ca="1">IFERROR(__xludf.DUMMYFUNCTION("""COMPUTED_VALUE"""),"INDIAPOST PARCEL CONTRACTUAL ")</f>
        <v xml:space="preserve">INDIAPOST PARCEL CONTRACTUAL </v>
      </c>
      <c r="K13" s="10">
        <f ca="1">IFERROR(__xludf.DUMMYFUNCTION("""COMPUTED_VALUE"""),3)</f>
        <v>3</v>
      </c>
    </row>
    <row r="14" spans="1:11">
      <c r="D14" s="10" t="str">
        <f ca="1">IFERROR(__xludf.DUMMYFUNCTION("""COMPUTED_VALUE"""),"Jalaj Rawat")</f>
        <v>Jalaj Rawat</v>
      </c>
      <c r="E14" s="10">
        <f ca="1">IFERROR(__xludf.DUMMYFUNCTION("""COMPUTED_VALUE"""),71)</f>
        <v>71</v>
      </c>
      <c r="J14" s="10" t="str">
        <f ca="1">IFERROR(__xludf.DUMMYFUNCTION("""COMPUTED_VALUE"""),"India Post Parcel Contractual")</f>
        <v>India Post Parcel Contractual</v>
      </c>
      <c r="K14" s="10">
        <f ca="1">IFERROR(__xludf.DUMMYFUNCTION("""COMPUTED_VALUE"""),17)</f>
        <v>17</v>
      </c>
    </row>
    <row r="15" spans="1:11">
      <c r="D15" s="10" t="str">
        <f ca="1">IFERROR(__xludf.DUMMYFUNCTION("""COMPUTED_VALUE"""),"Kavita Bhuriya")</f>
        <v>Kavita Bhuriya</v>
      </c>
      <c r="E15" s="10">
        <f ca="1">IFERROR(__xludf.DUMMYFUNCTION("""COMPUTED_VALUE"""),2)</f>
        <v>2</v>
      </c>
      <c r="J15" s="10" t="str">
        <f ca="1">IFERROR(__xludf.DUMMYFUNCTION("""COMPUTED_VALUE"""),"Indiapost Parcel Contractual")</f>
        <v>Indiapost Parcel Contractual</v>
      </c>
      <c r="K15" s="10">
        <f ca="1">IFERROR(__xludf.DUMMYFUNCTION("""COMPUTED_VALUE"""),45)</f>
        <v>45</v>
      </c>
    </row>
    <row r="16" spans="1:11">
      <c r="D16" s="10" t="str">
        <f ca="1">IFERROR(__xludf.DUMMYFUNCTION("""COMPUTED_VALUE"""),"Kunal Baurasi")</f>
        <v>Kunal Baurasi</v>
      </c>
      <c r="E16" s="10">
        <f ca="1">IFERROR(__xludf.DUMMYFUNCTION("""COMPUTED_VALUE"""),4)</f>
        <v>4</v>
      </c>
      <c r="J16" s="10" t="str">
        <f ca="1">IFERROR(__xludf.DUMMYFUNCTION("""COMPUTED_VALUE"""),"International EMS Document")</f>
        <v>International EMS Document</v>
      </c>
      <c r="K16" s="10">
        <f ca="1">IFERROR(__xludf.DUMMYFUNCTION("""COMPUTED_VALUE"""),1)</f>
        <v>1</v>
      </c>
    </row>
    <row r="17" spans="4:11">
      <c r="D17" s="10" t="str">
        <f ca="1">IFERROR(__xludf.DUMMYFUNCTION("""COMPUTED_VALUE"""),"NEELESH VERMA")</f>
        <v>NEELESH VERMA</v>
      </c>
      <c r="E17" s="10">
        <f ca="1">IFERROR(__xludf.DUMMYFUNCTION("""COMPUTED_VALUE"""),20)</f>
        <v>20</v>
      </c>
      <c r="J17" s="10" t="str">
        <f ca="1">IFERROR(__xludf.DUMMYFUNCTION("""COMPUTED_VALUE"""),"International Tracked Packet Service")</f>
        <v>International Tracked Packet Service</v>
      </c>
      <c r="K17" s="10">
        <f ca="1">IFERROR(__xludf.DUMMYFUNCTION("""COMPUTED_VALUE"""),1)</f>
        <v>1</v>
      </c>
    </row>
    <row r="18" spans="4:11">
      <c r="D18" s="10" t="str">
        <f ca="1">IFERROR(__xludf.DUMMYFUNCTION("""COMPUTED_VALUE"""),"Narendra Baviskar")</f>
        <v>Narendra Baviskar</v>
      </c>
      <c r="E18" s="10">
        <f ca="1">IFERROR(__xludf.DUMMYFUNCTION("""COMPUTED_VALUE"""),52)</f>
        <v>52</v>
      </c>
      <c r="J18" s="10" t="str">
        <f ca="1">IFERROR(__xludf.DUMMYFUNCTION("""COMPUTED_VALUE"""),"LETTERS")</f>
        <v>LETTERS</v>
      </c>
      <c r="K18" s="10">
        <f ca="1">IFERROR(__xludf.DUMMYFUNCTION("""COMPUTED_VALUE"""),10)</f>
        <v>10</v>
      </c>
    </row>
    <row r="19" spans="4:11">
      <c r="D19" s="10" t="str">
        <f ca="1">IFERROR(__xludf.DUMMYFUNCTION("""COMPUTED_VALUE"""),"RAHUL AGRAWAL")</f>
        <v>RAHUL AGRAWAL</v>
      </c>
      <c r="E19" s="10">
        <f ca="1">IFERROR(__xludf.DUMMYFUNCTION("""COMPUTED_VALUE"""),43)</f>
        <v>43</v>
      </c>
      <c r="J19" s="10" t="str">
        <f ca="1">IFERROR(__xludf.DUMMYFUNCTION("""COMPUTED_VALUE"""),"LETTES")</f>
        <v>LETTES</v>
      </c>
      <c r="K19" s="10">
        <f ca="1">IFERROR(__xludf.DUMMYFUNCTION("""COMPUTED_VALUE"""),1)</f>
        <v>1</v>
      </c>
    </row>
    <row r="20" spans="4:11">
      <c r="D20" s="10" t="str">
        <f ca="1">IFERROR(__xludf.DUMMYFUNCTION("""COMPUTED_VALUE"""),"RAJENDRA PUSHPAD")</f>
        <v>RAJENDRA PUSHPAD</v>
      </c>
      <c r="E20" s="10">
        <f ca="1">IFERROR(__xludf.DUMMYFUNCTION("""COMPUTED_VALUE"""),7)</f>
        <v>7</v>
      </c>
      <c r="J20" s="10" t="str">
        <f ca="1">IFERROR(__xludf.DUMMYFUNCTION("""COMPUTED_VALUE"""),"MACHINE GOODS")</f>
        <v>MACHINE GOODS</v>
      </c>
      <c r="K20" s="10">
        <f ca="1">IFERROR(__xludf.DUMMYFUNCTION("""COMPUTED_VALUE"""),3)</f>
        <v>3</v>
      </c>
    </row>
    <row r="21" spans="4:11">
      <c r="D21" s="10" t="str">
        <f ca="1">IFERROR(__xludf.DUMMYFUNCTION("""COMPUTED_VALUE"""),"RISHABH SINGH GOUR")</f>
        <v>RISHABH SINGH GOUR</v>
      </c>
      <c r="E21" s="10">
        <f ca="1">IFERROR(__xludf.DUMMYFUNCTION("""COMPUTED_VALUE"""),25)</f>
        <v>25</v>
      </c>
      <c r="J21" s="10" t="str">
        <f ca="1">IFERROR(__xludf.DUMMYFUNCTION("""COMPUTED_VALUE"""),"MEDICINES")</f>
        <v>MEDICINES</v>
      </c>
      <c r="K21" s="10">
        <f ca="1">IFERROR(__xludf.DUMMYFUNCTION("""COMPUTED_VALUE"""),1)</f>
        <v>1</v>
      </c>
    </row>
    <row r="22" spans="4:11">
      <c r="D22" s="10" t="str">
        <f ca="1">IFERROR(__xludf.DUMMYFUNCTION("""COMPUTED_VALUE"""),"Rahul Panchal")</f>
        <v>Rahul Panchal</v>
      </c>
      <c r="E22" s="10">
        <f ca="1">IFERROR(__xludf.DUMMYFUNCTION("""COMPUTED_VALUE"""),37)</f>
        <v>37</v>
      </c>
      <c r="J22" s="10" t="str">
        <f ca="1">IFERROR(__xludf.DUMMYFUNCTION("""COMPUTED_VALUE"""),"Magazine Post")</f>
        <v>Magazine Post</v>
      </c>
      <c r="K22" s="10">
        <f ca="1">IFERROR(__xludf.DUMMYFUNCTION("""COMPUTED_VALUE"""),7)</f>
        <v>7</v>
      </c>
    </row>
    <row r="23" spans="4:11">
      <c r="D23" s="10" t="str">
        <f ca="1">IFERROR(__xludf.DUMMYFUNCTION("""COMPUTED_VALUE"""),"Rajendra pushpad")</f>
        <v>Rajendra pushpad</v>
      </c>
      <c r="E23" s="10">
        <f ca="1">IFERROR(__xludf.DUMMYFUNCTION("""COMPUTED_VALUE"""),1)</f>
        <v>1</v>
      </c>
      <c r="J23" s="10" t="str">
        <f ca="1">IFERROR(__xludf.DUMMYFUNCTION("""COMPUTED_VALUE"""),"PARCEL")</f>
        <v>PARCEL</v>
      </c>
      <c r="K23" s="10">
        <f ca="1">IFERROR(__xludf.DUMMYFUNCTION("""COMPUTED_VALUE"""),5)</f>
        <v>5</v>
      </c>
    </row>
    <row r="24" spans="4:11">
      <c r="D24" s="10" t="str">
        <f ca="1">IFERROR(__xludf.DUMMYFUNCTION("""COMPUTED_VALUE"""),"SANTOSH RATHORE")</f>
        <v>SANTOSH RATHORE</v>
      </c>
      <c r="E24" s="10">
        <f ca="1">IFERROR(__xludf.DUMMYFUNCTION("""COMPUTED_VALUE"""),4)</f>
        <v>4</v>
      </c>
      <c r="J24" s="10" t="str">
        <f ca="1">IFERROR(__xludf.DUMMYFUNCTION("""COMPUTED_VALUE"""),"Registered Mails")</f>
        <v>Registered Mails</v>
      </c>
      <c r="K24" s="10">
        <f ca="1">IFERROR(__xludf.DUMMYFUNCTION("""COMPUTED_VALUE"""),13)</f>
        <v>13</v>
      </c>
    </row>
    <row r="25" spans="4:11">
      <c r="D25" s="10" t="str">
        <f ca="1">IFERROR(__xludf.DUMMYFUNCTION("""COMPUTED_VALUE"""),"SANTOSH VERMA")</f>
        <v>SANTOSH VERMA</v>
      </c>
      <c r="E25" s="10">
        <f ca="1">IFERROR(__xludf.DUMMYFUNCTION("""COMPUTED_VALUE"""),18)</f>
        <v>18</v>
      </c>
      <c r="J25" s="10" t="str">
        <f ca="1">IFERROR(__xludf.DUMMYFUNCTION("""COMPUTED_VALUE"""),"SHOES")</f>
        <v>SHOES</v>
      </c>
      <c r="K25" s="10">
        <f ca="1">IFERROR(__xludf.DUMMYFUNCTION("""COMPUTED_VALUE"""),1)</f>
        <v>1</v>
      </c>
    </row>
    <row r="26" spans="4:11">
      <c r="D26" s="10" t="str">
        <f ca="1">IFERROR(__xludf.DUMMYFUNCTION("""COMPUTED_VALUE"""),"Shri Vishal Soni")</f>
        <v>Shri Vishal Soni</v>
      </c>
      <c r="E26" s="10">
        <f ca="1">IFERROR(__xludf.DUMMYFUNCTION("""COMPUTED_VALUE"""),40)</f>
        <v>40</v>
      </c>
      <c r="J26" s="10" t="str">
        <f ca="1">IFERROR(__xludf.DUMMYFUNCTION("""COMPUTED_VALUE"""),"SPEED POST AND PARCEL CONTRACTUAL ")</f>
        <v xml:space="preserve">SPEED POST AND PARCEL CONTRACTUAL </v>
      </c>
      <c r="K26" s="10">
        <f ca="1">IFERROR(__xludf.DUMMYFUNCTION("""COMPUTED_VALUE"""),1)</f>
        <v>1</v>
      </c>
    </row>
    <row r="27" spans="4:11" ht="13.2">
      <c r="D27" s="10" t="str">
        <f ca="1">IFERROR(__xludf.DUMMYFUNCTION("""COMPUTED_VALUE"""),"Shri Yash Mittal")</f>
        <v>Shri Yash Mittal</v>
      </c>
      <c r="E27" s="10">
        <f ca="1">IFERROR(__xludf.DUMMYFUNCTION("""COMPUTED_VALUE"""),52)</f>
        <v>52</v>
      </c>
      <c r="J27" s="10" t="str">
        <f ca="1">IFERROR(__xludf.DUMMYFUNCTION("""COMPUTED_VALUE"""),"SPORTS PRODUCTS")</f>
        <v>SPORTS PRODUCTS</v>
      </c>
      <c r="K27" s="10">
        <f ca="1">IFERROR(__xludf.DUMMYFUNCTION("""COMPUTED_VALUE"""),2)</f>
        <v>2</v>
      </c>
    </row>
    <row r="28" spans="4:11" ht="13.2">
      <c r="D28" s="10" t="str">
        <f ca="1">IFERROR(__xludf.DUMMYFUNCTION("""COMPUTED_VALUE"""),"Sunil bhojwani")</f>
        <v>Sunil bhojwani</v>
      </c>
      <c r="E28" s="10">
        <f ca="1">IFERROR(__xludf.DUMMYFUNCTION("""COMPUTED_VALUE"""),3)</f>
        <v>3</v>
      </c>
      <c r="J28" s="10" t="str">
        <f ca="1">IFERROR(__xludf.DUMMYFUNCTION("""COMPUTED_VALUE"""),"Speed Post")</f>
        <v>Speed Post</v>
      </c>
      <c r="K28" s="10">
        <f ca="1">IFERROR(__xludf.DUMMYFUNCTION("""COMPUTED_VALUE"""),29)</f>
        <v>29</v>
      </c>
    </row>
    <row r="29" spans="4:11" ht="13.2">
      <c r="D29" s="10" t="str">
        <f ca="1">IFERROR(__xludf.DUMMYFUNCTION("""COMPUTED_VALUE"""),"Surendra Singh")</f>
        <v>Surendra Singh</v>
      </c>
      <c r="E29" s="10">
        <f ca="1">IFERROR(__xludf.DUMMYFUNCTION("""COMPUTED_VALUE"""),4)</f>
        <v>4</v>
      </c>
      <c r="J29" s="10" t="str">
        <f ca="1">IFERROR(__xludf.DUMMYFUNCTION("""COMPUTED_VALUE"""),"Speed Post Document")</f>
        <v>Speed Post Document</v>
      </c>
      <c r="K29" s="10">
        <f ca="1">IFERROR(__xludf.DUMMYFUNCTION("""COMPUTED_VALUE"""),3)</f>
        <v>3</v>
      </c>
    </row>
    <row r="30" spans="4:11" ht="13.2">
      <c r="D30" s="10" t="str">
        <f ca="1">IFERROR(__xludf.DUMMYFUNCTION("""COMPUTED_VALUE"""),"VINEET PATEL")</f>
        <v>VINEET PATEL</v>
      </c>
      <c r="E30" s="10">
        <f ca="1">IFERROR(__xludf.DUMMYFUNCTION("""COMPUTED_VALUE"""),24)</f>
        <v>24</v>
      </c>
      <c r="J30" s="10" t="str">
        <f ca="1">IFERROR(__xludf.DUMMYFUNCTION("""COMPUTED_VALUE"""),"Speed Post Parcel Contractual")</f>
        <v>Speed Post Parcel Contractual</v>
      </c>
      <c r="K30" s="10">
        <f ca="1">IFERROR(__xludf.DUMMYFUNCTION("""COMPUTED_VALUE"""),1)</f>
        <v>1</v>
      </c>
    </row>
    <row r="31" spans="4:11" ht="13.2">
      <c r="D31" s="15" t="str">
        <f ca="1">IFERROR(__xludf.DUMMYFUNCTION("""COMPUTED_VALUE"""),"Vineet Patel")</f>
        <v>Vineet Patel</v>
      </c>
      <c r="E31" s="15">
        <f ca="1">IFERROR(__xludf.DUMMYFUNCTION("""COMPUTED_VALUE"""),2)</f>
        <v>2</v>
      </c>
      <c r="J31" s="10" t="str">
        <f ca="1">IFERROR(__xludf.DUMMYFUNCTION("""COMPUTED_VALUE"""),"Speed Post Parcel Domestic")</f>
        <v>Speed Post Parcel Domestic</v>
      </c>
      <c r="K31" s="10">
        <f ca="1">IFERROR(__xludf.DUMMYFUNCTION("""COMPUTED_VALUE"""),27)</f>
        <v>27</v>
      </c>
    </row>
    <row r="32" spans="4:11" ht="13.2">
      <c r="D32" s="15" t="str">
        <f ca="1">IFERROR(__xludf.DUMMYFUNCTION("""COMPUTED_VALUE"""),"Zuber Ahmed Khan")</f>
        <v>Zuber Ahmed Khan</v>
      </c>
      <c r="E32" s="15">
        <f ca="1">IFERROR(__xludf.DUMMYFUNCTION("""COMPUTED_VALUE"""),36)</f>
        <v>36</v>
      </c>
      <c r="J32" s="10" t="str">
        <f ca="1">IFERROR(__xludf.DUMMYFUNCTION("""COMPUTED_VALUE"""),"Speed Post ParcelÂ Domestic")</f>
        <v>Speed Post ParcelÂ Domestic</v>
      </c>
      <c r="K32" s="10">
        <f ca="1">IFERROR(__xludf.DUMMYFUNCTION("""COMPUTED_VALUE"""),2)</f>
        <v>2</v>
      </c>
    </row>
    <row r="33" spans="4:11" ht="13.2">
      <c r="D33" s="15" t="str">
        <f ca="1">IFERROR(__xludf.DUMMYFUNCTION("""COMPUTED_VALUE"""),"junaid khan")</f>
        <v>junaid khan</v>
      </c>
      <c r="E33" s="15">
        <f ca="1">IFERROR(__xludf.DUMMYFUNCTION("""COMPUTED_VALUE"""),13)</f>
        <v>13</v>
      </c>
      <c r="J33" s="10" t="str">
        <f ca="1">IFERROR(__xludf.DUMMYFUNCTION("""COMPUTED_VALUE"""),"Speed Post,Indiapost Parcel Contractual")</f>
        <v>Speed Post,Indiapost Parcel Contractual</v>
      </c>
      <c r="K33" s="10">
        <f ca="1">IFERROR(__xludf.DUMMYFUNCTION("""COMPUTED_VALUE"""),1)</f>
        <v>1</v>
      </c>
    </row>
    <row r="34" spans="4:11" ht="13.2">
      <c r="D34" s="15" t="str">
        <f ca="1">IFERROR(__xludf.DUMMYFUNCTION("""COMPUTED_VALUE"""),"santosh rathore ")</f>
        <v xml:space="preserve">santosh rathore </v>
      </c>
      <c r="E34" s="15">
        <f ca="1">IFERROR(__xludf.DUMMYFUNCTION("""COMPUTED_VALUE"""),2)</f>
        <v>2</v>
      </c>
      <c r="J34" s="15" t="str">
        <f ca="1">IFERROR(__xludf.DUMMYFUNCTION("""COMPUTED_VALUE"""),"advance customer")</f>
        <v>advance customer</v>
      </c>
      <c r="K34" s="15">
        <f ca="1">IFERROR(__xludf.DUMMYFUNCTION("""COMPUTED_VALUE"""),1)</f>
        <v>1</v>
      </c>
    </row>
    <row r="35" spans="4:11" ht="13.2">
      <c r="D35" s="15" t="str">
        <f ca="1">IFERROR(__xludf.DUMMYFUNCTION("""COMPUTED_VALUE"""),"sunil bhojwani")</f>
        <v>sunil bhojwani</v>
      </c>
      <c r="E35" s="15">
        <f ca="1">IFERROR(__xludf.DUMMYFUNCTION("""COMPUTED_VALUE"""),16)</f>
        <v>16</v>
      </c>
      <c r="J35" s="15" t="str">
        <f ca="1">IFERROR(__xludf.DUMMYFUNCTION("""COMPUTED_VALUE"""),"bnpl-speed post")</f>
        <v>bnpl-speed post</v>
      </c>
      <c r="K35" s="15">
        <f ca="1">IFERROR(__xludf.DUMMYFUNCTION("""COMPUTED_VALUE"""),10)</f>
        <v>10</v>
      </c>
    </row>
    <row r="36" spans="4:11" ht="13.2">
      <c r="D36" s="15" t="str">
        <f ca="1">IFERROR(__xludf.DUMMYFUNCTION("""COMPUTED_VALUE"""),"vineet Patel ")</f>
        <v xml:space="preserve">vineet Patel </v>
      </c>
      <c r="E36" s="15">
        <f ca="1">IFERROR(__xludf.DUMMYFUNCTION("""COMPUTED_VALUE"""),1)</f>
        <v>1</v>
      </c>
      <c r="J36" s="15" t="str">
        <f ca="1">IFERROR(__xludf.DUMMYFUNCTION("""COMPUTED_VALUE"""),"parcel contractual")</f>
        <v>parcel contractual</v>
      </c>
      <c r="K36" s="15">
        <f ca="1">IFERROR(__xludf.DUMMYFUNCTION("""COMPUTED_VALUE"""),1)</f>
        <v>1</v>
      </c>
    </row>
    <row r="37" spans="4:11" ht="13.2">
      <c r="D37" s="15" t="str">
        <f ca="1">IFERROR(__xludf.DUMMYFUNCTION("""COMPUTED_VALUE"""),"vineet patel")</f>
        <v>vineet patel</v>
      </c>
      <c r="E37" s="15">
        <f ca="1">IFERROR(__xludf.DUMMYFUNCTION("""COMPUTED_VALUE"""),3)</f>
        <v>3</v>
      </c>
      <c r="J37" s="15" t="str">
        <f ca="1">IFERROR(__xludf.DUMMYFUNCTION("""COMPUTED_VALUE"""),"parcel contractual ")</f>
        <v xml:space="preserve">parcel contractual </v>
      </c>
      <c r="K37" s="15">
        <f ca="1">IFERROR(__xludf.DUMMYFUNCTION("""COMPUTED_VALUE"""),4)</f>
        <v>4</v>
      </c>
    </row>
    <row r="38" spans="4:11" ht="13.2">
      <c r="D38" s="15" t="str">
        <f ca="1">IFERROR(__xludf.DUMMYFUNCTION("""COMPUTED_VALUE"""),"vineet patel ")</f>
        <v xml:space="preserve">vineet patel </v>
      </c>
      <c r="E38" s="15">
        <f ca="1">IFERROR(__xludf.DUMMYFUNCTION("""COMPUTED_VALUE"""),1)</f>
        <v>1</v>
      </c>
    </row>
    <row r="49" spans="1:2" ht="22.8">
      <c r="A49" s="57" t="s">
        <v>108</v>
      </c>
      <c r="B49" s="55"/>
    </row>
    <row r="50" spans="1:2" ht="13.8">
      <c r="A50" s="4" t="str">
        <f ca="1">IFERROR(__xludf.DUMMYFUNCTION("QUERY('Master sheet'!A:H,""select B,count(B) where B is not null group by B"",1)"),"Division")</f>
        <v>Division</v>
      </c>
      <c r="B50" s="16" t="str">
        <f ca="1">IFERROR(__xludf.DUMMYFUNCTION("""COMPUTED_VALUE"""),"count Division")</f>
        <v>count Division</v>
      </c>
    </row>
    <row r="51" spans="1:2" ht="13.2">
      <c r="A51" s="10" t="str">
        <f ca="1">IFERROR(__xludf.DUMMYFUNCTION("""COMPUTED_VALUE"""),"Indore City")</f>
        <v>Indore City</v>
      </c>
      <c r="B51" s="16">
        <f ca="1">IFERROR(__xludf.DUMMYFUNCTION("""COMPUTED_VALUE"""),144)</f>
        <v>144</v>
      </c>
    </row>
    <row r="52" spans="1:2" ht="13.2">
      <c r="A52" s="10" t="str">
        <f ca="1">IFERROR(__xludf.DUMMYFUNCTION("""COMPUTED_VALUE"""),"Indore MFL")</f>
        <v>Indore MFL</v>
      </c>
      <c r="B52" s="16">
        <f ca="1">IFERROR(__xludf.DUMMYFUNCTION("""COMPUTED_VALUE"""),27)</f>
        <v>27</v>
      </c>
    </row>
    <row r="53" spans="1:2" ht="13.2">
      <c r="A53" s="10" t="str">
        <f ca="1">IFERROR(__xludf.DUMMYFUNCTION("""COMPUTED_VALUE"""),"Khandwa")</f>
        <v>Khandwa</v>
      </c>
      <c r="B53" s="16">
        <f ca="1">IFERROR(__xludf.DUMMYFUNCTION("""COMPUTED_VALUE"""),74)</f>
        <v>74</v>
      </c>
    </row>
    <row r="54" spans="1:2" ht="13.2">
      <c r="A54" s="10" t="str">
        <f ca="1">IFERROR(__xludf.DUMMYFUNCTION("""COMPUTED_VALUE"""),"Mandsaur")</f>
        <v>Mandsaur</v>
      </c>
      <c r="B54" s="16">
        <f ca="1">IFERROR(__xludf.DUMMYFUNCTION("""COMPUTED_VALUE"""),102)</f>
        <v>102</v>
      </c>
    </row>
    <row r="55" spans="1:2" ht="13.2">
      <c r="A55" s="10" t="str">
        <f ca="1">IFERROR(__xludf.DUMMYFUNCTION("""COMPUTED_VALUE"""),"RMS ID Dn")</f>
        <v>RMS ID Dn</v>
      </c>
      <c r="B55" s="16">
        <f ca="1">IFERROR(__xludf.DUMMYFUNCTION("""COMPUTED_VALUE"""),52)</f>
        <v>52</v>
      </c>
    </row>
    <row r="56" spans="1:2" ht="13.2">
      <c r="A56" s="10" t="str">
        <f ca="1">IFERROR(__xludf.DUMMYFUNCTION("""COMPUTED_VALUE"""),"Ratlam")</f>
        <v>Ratlam</v>
      </c>
      <c r="B56" s="16">
        <f ca="1">IFERROR(__xludf.DUMMYFUNCTION("""COMPUTED_VALUE"""),25)</f>
        <v>25</v>
      </c>
    </row>
    <row r="57" spans="1:2" ht="13.2">
      <c r="A57" s="10" t="str">
        <f ca="1">IFERROR(__xludf.DUMMYFUNCTION("""COMPUTED_VALUE"""),"Sehore")</f>
        <v>Sehore</v>
      </c>
      <c r="B57" s="16">
        <f ca="1">IFERROR(__xludf.DUMMYFUNCTION("""COMPUTED_VALUE"""),56)</f>
        <v>56</v>
      </c>
    </row>
    <row r="58" spans="1:2" ht="13.2">
      <c r="A58" s="10" t="str">
        <f ca="1">IFERROR(__xludf.DUMMYFUNCTION("""COMPUTED_VALUE"""),"Ujjain")</f>
        <v>Ujjain</v>
      </c>
      <c r="B58" s="16">
        <f ca="1">IFERROR(__xludf.DUMMYFUNCTION("""COMPUTED_VALUE"""),102)</f>
        <v>102</v>
      </c>
    </row>
  </sheetData>
  <mergeCells count="4">
    <mergeCell ref="A1:B1"/>
    <mergeCell ref="D1:E1"/>
    <mergeCell ref="J1:K1"/>
    <mergeCell ref="A49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83"/>
  <sheetViews>
    <sheetView tabSelected="1" workbookViewId="0">
      <selection activeCell="K11" sqref="K11"/>
    </sheetView>
  </sheetViews>
  <sheetFormatPr defaultColWidth="12.6640625" defaultRowHeight="15.75" customHeight="1"/>
  <cols>
    <col min="1" max="1" width="5.109375" customWidth="1"/>
    <col min="2" max="2" width="9.44140625" customWidth="1"/>
    <col min="3" max="3" width="55.77734375" customWidth="1"/>
    <col min="4" max="4" width="11.21875" customWidth="1"/>
    <col min="5" max="5" width="10.6640625" customWidth="1"/>
    <col min="6" max="6" width="36" hidden="1" customWidth="1"/>
    <col min="8" max="8" width="24.88671875" customWidth="1"/>
  </cols>
  <sheetData>
    <row r="1" spans="1:8">
      <c r="A1" s="2" t="s">
        <v>0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10">
        <f ca="1">IFERROR(__xludf.DUMMYFUNCTION("QUERY({'Indore City'!B4:I999;'Indore MFL'!B4:I999;Khandwa!B4:I1000;Mandsaur!B4:I1000;Ratlam!B4:I997;Sehore!B4:I1000;Ujjain!B4:I995;'RMS ID Dn'!B5:I972},""SELECT * WHERE Col1 IS NOT NULL"",0)"),1)</f>
        <v>1</v>
      </c>
      <c r="B2" s="10" t="str">
        <f ca="1">IFERROR(__xludf.DUMMYFUNCTION("""COMPUTED_VALUE"""),"Indore City")</f>
        <v>Indore City</v>
      </c>
      <c r="C2" s="10" t="str">
        <f ca="1">IFERROR(__xludf.DUMMYFUNCTION("""COMPUTED_VALUE"""),"DRASHTI ENTERPRISES")</f>
        <v>DRASHTI ENTERPRISES</v>
      </c>
      <c r="D2" s="10">
        <f ca="1">IFERROR(__xludf.DUMMYFUNCTION("""COMPUTED_VALUE"""),1504860613)</f>
        <v>1504860613</v>
      </c>
      <c r="E2" s="12">
        <f ca="1">IFERROR(__xludf.DUMMYFUNCTION("""COMPUTED_VALUE"""),46114)</f>
        <v>46114</v>
      </c>
      <c r="F2" s="10"/>
      <c r="G2" s="10" t="str">
        <f ca="1">IFERROR(__xludf.DUMMYFUNCTION("""COMPUTED_VALUE"""),"B2C")</f>
        <v>B2C</v>
      </c>
      <c r="H2" s="10" t="str">
        <f ca="1">IFERROR(__xludf.DUMMYFUNCTION("""COMPUTED_VALUE"""),"Jalaj Rawat")</f>
        <v>Jalaj Rawat</v>
      </c>
    </row>
    <row r="3" spans="1:8">
      <c r="A3" s="10">
        <f ca="1">IFERROR(__xludf.DUMMYFUNCTION("""COMPUTED_VALUE"""),2)</f>
        <v>2</v>
      </c>
      <c r="B3" s="10" t="str">
        <f ca="1">IFERROR(__xludf.DUMMYFUNCTION("""COMPUTED_VALUE"""),"Indore City")</f>
        <v>Indore City</v>
      </c>
      <c r="C3" s="10" t="str">
        <f ca="1">IFERROR(__xludf.DUMMYFUNCTION("""COMPUTED_VALUE"""),"PRIYAL AQUATECH SERVICES")</f>
        <v>PRIYAL AQUATECH SERVICES</v>
      </c>
      <c r="D3" s="10">
        <f ca="1">IFERROR(__xludf.DUMMYFUNCTION("""COMPUTED_VALUE"""),1893026504)</f>
        <v>1893026504</v>
      </c>
      <c r="E3" s="12">
        <f ca="1">IFERROR(__xludf.DUMMYFUNCTION("""COMPUTED_VALUE"""),46114)</f>
        <v>46114</v>
      </c>
      <c r="F3" s="10"/>
      <c r="G3" s="10" t="str">
        <f ca="1">IFERROR(__xludf.DUMMYFUNCTION("""COMPUTED_VALUE"""),"B2C")</f>
        <v>B2C</v>
      </c>
      <c r="H3" s="10" t="str">
        <f ca="1">IFERROR(__xludf.DUMMYFUNCTION("""COMPUTED_VALUE"""),"Jalaj Rawat")</f>
        <v>Jalaj Rawat</v>
      </c>
    </row>
    <row r="4" spans="1:8">
      <c r="A4" s="10">
        <f ca="1">IFERROR(__xludf.DUMMYFUNCTION("""COMPUTED_VALUE"""),3)</f>
        <v>3</v>
      </c>
      <c r="B4" s="10" t="str">
        <f ca="1">IFERROR(__xludf.DUMMYFUNCTION("""COMPUTED_VALUE"""),"Indore City")</f>
        <v>Indore City</v>
      </c>
      <c r="C4" s="10" t="str">
        <f ca="1">IFERROR(__xludf.DUMMYFUNCTION("""COMPUTED_VALUE"""),"VARNSHIKA HERBALS PVT LTD")</f>
        <v>VARNSHIKA HERBALS PVT LTD</v>
      </c>
      <c r="D4" s="10">
        <f ca="1">IFERROR(__xludf.DUMMYFUNCTION("""COMPUTED_VALUE"""),1149636129)</f>
        <v>1149636129</v>
      </c>
      <c r="E4" s="12">
        <f ca="1">IFERROR(__xludf.DUMMYFUNCTION("""COMPUTED_VALUE"""),46114)</f>
        <v>46114</v>
      </c>
      <c r="F4" s="10"/>
      <c r="G4" s="10" t="str">
        <f ca="1">IFERROR(__xludf.DUMMYFUNCTION("""COMPUTED_VALUE"""),"B2C")</f>
        <v>B2C</v>
      </c>
      <c r="H4" s="10" t="str">
        <f ca="1">IFERROR(__xludf.DUMMYFUNCTION("""COMPUTED_VALUE"""),"Rahul Panchal")</f>
        <v>Rahul Panchal</v>
      </c>
    </row>
    <row r="5" spans="1:8">
      <c r="A5" s="10">
        <f ca="1">IFERROR(__xludf.DUMMYFUNCTION("""COMPUTED_VALUE"""),4)</f>
        <v>4</v>
      </c>
      <c r="B5" s="10" t="str">
        <f ca="1">IFERROR(__xludf.DUMMYFUNCTION("""COMPUTED_VALUE"""),"Indore City")</f>
        <v>Indore City</v>
      </c>
      <c r="C5" s="10" t="str">
        <f ca="1">IFERROR(__xludf.DUMMYFUNCTION("""COMPUTED_VALUE"""),"SANWARIYA HERBALS")</f>
        <v>SANWARIYA HERBALS</v>
      </c>
      <c r="D5" s="10">
        <f ca="1">IFERROR(__xludf.DUMMYFUNCTION("""COMPUTED_VALUE"""),1858516980)</f>
        <v>1858516980</v>
      </c>
      <c r="E5" s="12">
        <f ca="1">IFERROR(__xludf.DUMMYFUNCTION("""COMPUTED_VALUE"""),46119)</f>
        <v>46119</v>
      </c>
      <c r="F5" s="10"/>
      <c r="G5" s="10" t="str">
        <f ca="1">IFERROR(__xludf.DUMMYFUNCTION("""COMPUTED_VALUE"""),"B2C")</f>
        <v>B2C</v>
      </c>
      <c r="H5" s="10" t="str">
        <f ca="1">IFERROR(__xludf.DUMMYFUNCTION("""COMPUTED_VALUE"""),"Jalaj Rawat")</f>
        <v>Jalaj Rawat</v>
      </c>
    </row>
    <row r="6" spans="1:8">
      <c r="A6" s="10">
        <f ca="1">IFERROR(__xludf.DUMMYFUNCTION("""COMPUTED_VALUE"""),5)</f>
        <v>5</v>
      </c>
      <c r="B6" s="10" t="str">
        <f ca="1">IFERROR(__xludf.DUMMYFUNCTION("""COMPUTED_VALUE"""),"Indore City")</f>
        <v>Indore City</v>
      </c>
      <c r="C6" s="10" t="str">
        <f ca="1">IFERROR(__xludf.DUMMYFUNCTION("""COMPUTED_VALUE"""),"Bank of India zonal office indore")</f>
        <v>Bank of India zonal office indore</v>
      </c>
      <c r="D6" s="10">
        <f ca="1">IFERROR(__xludf.DUMMYFUNCTION("""COMPUTED_VALUE"""),1540291063)</f>
        <v>1540291063</v>
      </c>
      <c r="E6" s="12">
        <f ca="1">IFERROR(__xludf.DUMMYFUNCTION("""COMPUTED_VALUE"""),46121)</f>
        <v>46121</v>
      </c>
      <c r="F6" s="10"/>
      <c r="G6" s="10" t="str">
        <f ca="1">IFERROR(__xludf.DUMMYFUNCTION("""COMPUTED_VALUE"""),"B2C")</f>
        <v>B2C</v>
      </c>
      <c r="H6" s="10" t="str">
        <f ca="1">IFERROR(__xludf.DUMMYFUNCTION("""COMPUTED_VALUE"""),"Jalaj Rawat")</f>
        <v>Jalaj Rawat</v>
      </c>
    </row>
    <row r="7" spans="1:8">
      <c r="A7" s="10">
        <f ca="1">IFERROR(__xludf.DUMMYFUNCTION("""COMPUTED_VALUE"""),6)</f>
        <v>6</v>
      </c>
      <c r="B7" s="10" t="str">
        <f ca="1">IFERROR(__xludf.DUMMYFUNCTION("""COMPUTED_VALUE"""),"Indore City")</f>
        <v>Indore City</v>
      </c>
      <c r="C7" s="10" t="str">
        <f ca="1">IFERROR(__xludf.DUMMYFUNCTION("""COMPUTED_VALUE"""),"SWARAJ COACHING CLASSES")</f>
        <v>SWARAJ COACHING CLASSES</v>
      </c>
      <c r="D7" s="10">
        <f ca="1">IFERROR(__xludf.DUMMYFUNCTION("""COMPUTED_VALUE"""),1601260495)</f>
        <v>1601260495</v>
      </c>
      <c r="E7" s="12">
        <f ca="1">IFERROR(__xludf.DUMMYFUNCTION("""COMPUTED_VALUE"""),46121)</f>
        <v>46121</v>
      </c>
      <c r="F7" s="10"/>
      <c r="G7" s="10" t="str">
        <f ca="1">IFERROR(__xludf.DUMMYFUNCTION("""COMPUTED_VALUE"""),"B2C")</f>
        <v>B2C</v>
      </c>
      <c r="H7" s="10" t="str">
        <f ca="1">IFERROR(__xludf.DUMMYFUNCTION("""COMPUTED_VALUE"""),"Zuber Ahmed Khan")</f>
        <v>Zuber Ahmed Khan</v>
      </c>
    </row>
    <row r="8" spans="1:8">
      <c r="A8" s="10">
        <f ca="1">IFERROR(__xludf.DUMMYFUNCTION("""COMPUTED_VALUE"""),7)</f>
        <v>7</v>
      </c>
      <c r="B8" s="10" t="str">
        <f ca="1">IFERROR(__xludf.DUMMYFUNCTION("""COMPUTED_VALUE"""),"Indore City")</f>
        <v>Indore City</v>
      </c>
      <c r="C8" s="10" t="str">
        <f ca="1">IFERROR(__xludf.DUMMYFUNCTION("""COMPUTED_VALUE"""),"MPPKVVCL")</f>
        <v>MPPKVVCL</v>
      </c>
      <c r="D8" s="10">
        <f ca="1">IFERROR(__xludf.DUMMYFUNCTION("""COMPUTED_VALUE"""),1955152285)</f>
        <v>1955152285</v>
      </c>
      <c r="E8" s="12">
        <f ca="1">IFERROR(__xludf.DUMMYFUNCTION("""COMPUTED_VALUE"""),46127)</f>
        <v>46127</v>
      </c>
      <c r="F8" s="10"/>
      <c r="G8" s="10" t="str">
        <f ca="1">IFERROR(__xludf.DUMMYFUNCTION("""COMPUTED_VALUE"""),"B2C")</f>
        <v>B2C</v>
      </c>
      <c r="H8" s="10" t="str">
        <f ca="1">IFERROR(__xludf.DUMMYFUNCTION("""COMPUTED_VALUE"""),"Rahul Panchal")</f>
        <v>Rahul Panchal</v>
      </c>
    </row>
    <row r="9" spans="1:8">
      <c r="A9" s="10">
        <f ca="1">IFERROR(__xludf.DUMMYFUNCTION("""COMPUTED_VALUE"""),8)</f>
        <v>8</v>
      </c>
      <c r="B9" s="10" t="str">
        <f ca="1">IFERROR(__xludf.DUMMYFUNCTION("""COMPUTED_VALUE"""),"Indore City")</f>
        <v>Indore City</v>
      </c>
      <c r="C9" s="10" t="str">
        <f ca="1">IFERROR(__xludf.DUMMYFUNCTION("""COMPUTED_VALUE"""),"RSP ENTERPRISES")</f>
        <v>RSP ENTERPRISES</v>
      </c>
      <c r="D9" s="10">
        <f ca="1">IFERROR(__xludf.DUMMYFUNCTION("""COMPUTED_VALUE"""),1784698475)</f>
        <v>1784698475</v>
      </c>
      <c r="E9" s="12">
        <f ca="1">IFERROR(__xludf.DUMMYFUNCTION("""COMPUTED_VALUE"""),46127)</f>
        <v>46127</v>
      </c>
      <c r="F9" s="10"/>
      <c r="G9" s="10" t="str">
        <f ca="1">IFERROR(__xludf.DUMMYFUNCTION("""COMPUTED_VALUE"""),"B2C")</f>
        <v>B2C</v>
      </c>
      <c r="H9" s="10" t="str">
        <f ca="1">IFERROR(__xludf.DUMMYFUNCTION("""COMPUTED_VALUE"""),"Jalaj Rawat")</f>
        <v>Jalaj Rawat</v>
      </c>
    </row>
    <row r="10" spans="1:8">
      <c r="A10" s="10">
        <f ca="1">IFERROR(__xludf.DUMMYFUNCTION("""COMPUTED_VALUE"""),9)</f>
        <v>9</v>
      </c>
      <c r="B10" s="10" t="str">
        <f ca="1">IFERROR(__xludf.DUMMYFUNCTION("""COMPUTED_VALUE"""),"Indore City")</f>
        <v>Indore City</v>
      </c>
      <c r="C10" s="10" t="str">
        <f ca="1">IFERROR(__xludf.DUMMYFUNCTION("""COMPUTED_VALUE"""),"SP WORLD SOLUTION")</f>
        <v>SP WORLD SOLUTION</v>
      </c>
      <c r="D10" s="10">
        <f ca="1">IFERROR(__xludf.DUMMYFUNCTION("""COMPUTED_VALUE"""),1802814193)</f>
        <v>1802814193</v>
      </c>
      <c r="E10" s="12">
        <f ca="1">IFERROR(__xludf.DUMMYFUNCTION("""COMPUTED_VALUE"""),46127)</f>
        <v>46127</v>
      </c>
      <c r="F10" s="10"/>
      <c r="G10" s="10" t="str">
        <f ca="1">IFERROR(__xludf.DUMMYFUNCTION("""COMPUTED_VALUE"""),"B2C")</f>
        <v>B2C</v>
      </c>
      <c r="H10" s="10" t="str">
        <f ca="1">IFERROR(__xludf.DUMMYFUNCTION("""COMPUTED_VALUE"""),"Jalaj Rawat")</f>
        <v>Jalaj Rawat</v>
      </c>
    </row>
    <row r="11" spans="1:8">
      <c r="A11" s="10">
        <f ca="1">IFERROR(__xludf.DUMMYFUNCTION("""COMPUTED_VALUE"""),10)</f>
        <v>10</v>
      </c>
      <c r="B11" s="10" t="str">
        <f ca="1">IFERROR(__xludf.DUMMYFUNCTION("""COMPUTED_VALUE"""),"Indore City")</f>
        <v>Indore City</v>
      </c>
      <c r="C11" s="10" t="str">
        <f ca="1">IFERROR(__xludf.DUMMYFUNCTION("""COMPUTED_VALUE"""),"ASHU HERBAL")</f>
        <v>ASHU HERBAL</v>
      </c>
      <c r="D11" s="10">
        <f ca="1">IFERROR(__xludf.DUMMYFUNCTION("""COMPUTED_VALUE"""),1264378880)</f>
        <v>1264378880</v>
      </c>
      <c r="E11" s="12">
        <f ca="1">IFERROR(__xludf.DUMMYFUNCTION("""COMPUTED_VALUE"""),46128)</f>
        <v>46128</v>
      </c>
      <c r="F11" s="10"/>
      <c r="G11" s="10" t="str">
        <f ca="1">IFERROR(__xludf.DUMMYFUNCTION("""COMPUTED_VALUE"""),"B2C")</f>
        <v>B2C</v>
      </c>
      <c r="H11" s="10" t="str">
        <f ca="1">IFERROR(__xludf.DUMMYFUNCTION("""COMPUTED_VALUE"""),"Zuber Ahmed Khan")</f>
        <v>Zuber Ahmed Khan</v>
      </c>
    </row>
    <row r="12" spans="1:8">
      <c r="A12" s="10">
        <f ca="1">IFERROR(__xludf.DUMMYFUNCTION("""COMPUTED_VALUE"""),11)</f>
        <v>11</v>
      </c>
      <c r="B12" s="10" t="str">
        <f ca="1">IFERROR(__xludf.DUMMYFUNCTION("""COMPUTED_VALUE"""),"Indore City")</f>
        <v>Indore City</v>
      </c>
      <c r="C12" s="10" t="str">
        <f ca="1">IFERROR(__xludf.DUMMYFUNCTION("""COMPUTED_VALUE"""),"JAIN ENTERPRISES")</f>
        <v>JAIN ENTERPRISES</v>
      </c>
      <c r="D12" s="10">
        <f ca="1">IFERROR(__xludf.DUMMYFUNCTION("""COMPUTED_VALUE"""),1244430040)</f>
        <v>1244430040</v>
      </c>
      <c r="E12" s="12">
        <f ca="1">IFERROR(__xludf.DUMMYFUNCTION("""COMPUTED_VALUE"""),46136)</f>
        <v>46136</v>
      </c>
      <c r="F12" s="10"/>
      <c r="G12" s="10" t="str">
        <f ca="1">IFERROR(__xludf.DUMMYFUNCTION("""COMPUTED_VALUE"""),"B2C")</f>
        <v>B2C</v>
      </c>
      <c r="H12" s="10" t="str">
        <f ca="1">IFERROR(__xludf.DUMMYFUNCTION("""COMPUTED_VALUE"""),"Jalaj Rawat")</f>
        <v>Jalaj Rawat</v>
      </c>
    </row>
    <row r="13" spans="1:8">
      <c r="A13" s="10">
        <f ca="1">IFERROR(__xludf.DUMMYFUNCTION("""COMPUTED_VALUE"""),12)</f>
        <v>12</v>
      </c>
      <c r="B13" s="10" t="str">
        <f ca="1">IFERROR(__xludf.DUMMYFUNCTION("""COMPUTED_VALUE"""),"Indore City")</f>
        <v>Indore City</v>
      </c>
      <c r="C13" s="10" t="str">
        <f ca="1">IFERROR(__xludf.DUMMYFUNCTION("""COMPUTED_VALUE"""),"LASNARO AGROVET PRIVATE LIMITED")</f>
        <v>LASNARO AGROVET PRIVATE LIMITED</v>
      </c>
      <c r="D13" s="10">
        <f ca="1">IFERROR(__xludf.DUMMYFUNCTION("""COMPUTED_VALUE"""),1335697406)</f>
        <v>1335697406</v>
      </c>
      <c r="E13" s="12">
        <f ca="1">IFERROR(__xludf.DUMMYFUNCTION("""COMPUTED_VALUE"""),46136)</f>
        <v>46136</v>
      </c>
      <c r="F13" s="10"/>
      <c r="G13" s="10" t="str">
        <f ca="1">IFERROR(__xludf.DUMMYFUNCTION("""COMPUTED_VALUE"""),"B2C")</f>
        <v>B2C</v>
      </c>
      <c r="H13" s="10" t="str">
        <f ca="1">IFERROR(__xludf.DUMMYFUNCTION("""COMPUTED_VALUE"""),"Rahul Panchal")</f>
        <v>Rahul Panchal</v>
      </c>
    </row>
    <row r="14" spans="1:8">
      <c r="A14" s="10">
        <f ca="1">IFERROR(__xludf.DUMMYFUNCTION("""COMPUTED_VALUE"""),13)</f>
        <v>13</v>
      </c>
      <c r="B14" s="10" t="str">
        <f ca="1">IFERROR(__xludf.DUMMYFUNCTION("""COMPUTED_VALUE"""),"Indore City")</f>
        <v>Indore City</v>
      </c>
      <c r="C14" s="10" t="str">
        <f ca="1">IFERROR(__xludf.DUMMYFUNCTION("""COMPUTED_VALUE"""),"Brain Box")</f>
        <v>Brain Box</v>
      </c>
      <c r="D14" s="10">
        <f ca="1">IFERROR(__xludf.DUMMYFUNCTION("""COMPUTED_VALUE"""),1651181890)</f>
        <v>1651181890</v>
      </c>
      <c r="E14" s="12">
        <f ca="1">IFERROR(__xludf.DUMMYFUNCTION("""COMPUTED_VALUE"""),46121)</f>
        <v>46121</v>
      </c>
      <c r="F14" s="10"/>
      <c r="G14" s="10" t="str">
        <f ca="1">IFERROR(__xludf.DUMMYFUNCTION("""COMPUTED_VALUE"""),"B2C")</f>
        <v>B2C</v>
      </c>
      <c r="H14" s="10" t="str">
        <f ca="1">IFERROR(__xludf.DUMMYFUNCTION("""COMPUTED_VALUE"""),"Zuber Ahmed Khan")</f>
        <v>Zuber Ahmed Khan</v>
      </c>
    </row>
    <row r="15" spans="1:8">
      <c r="A15" s="10">
        <f ca="1">IFERROR(__xludf.DUMMYFUNCTION("""COMPUTED_VALUE"""),14)</f>
        <v>14</v>
      </c>
      <c r="B15" s="10" t="str">
        <f ca="1">IFERROR(__xludf.DUMMYFUNCTION("""COMPUTED_VALUE"""),"Indore City")</f>
        <v>Indore City</v>
      </c>
      <c r="C15" s="10" t="str">
        <f ca="1">IFERROR(__xludf.DUMMYFUNCTION("""COMPUTED_VALUE"""),"SPNIWCD RC Indore")</f>
        <v>SPNIWCD RC Indore</v>
      </c>
      <c r="D15" s="10">
        <f ca="1">IFERROR(__xludf.DUMMYFUNCTION("""COMPUTED_VALUE"""),1723023500)</f>
        <v>1723023500</v>
      </c>
      <c r="E15" s="12">
        <f ca="1">IFERROR(__xludf.DUMMYFUNCTION("""COMPUTED_VALUE"""),46136)</f>
        <v>46136</v>
      </c>
      <c r="F15" s="10"/>
      <c r="G15" s="10" t="str">
        <f ca="1">IFERROR(__xludf.DUMMYFUNCTION("""COMPUTED_VALUE"""),"B2C")</f>
        <v>B2C</v>
      </c>
      <c r="H15" s="10" t="str">
        <f ca="1">IFERROR(__xludf.DUMMYFUNCTION("""COMPUTED_VALUE"""),"Jalaj Rawat")</f>
        <v>Jalaj Rawat</v>
      </c>
    </row>
    <row r="16" spans="1:8">
      <c r="A16" s="10">
        <f ca="1">IFERROR(__xludf.DUMMYFUNCTION("""COMPUTED_VALUE"""),15)</f>
        <v>15</v>
      </c>
      <c r="B16" s="10" t="str">
        <f ca="1">IFERROR(__xludf.DUMMYFUNCTION("""COMPUTED_VALUE"""),"Indore City")</f>
        <v>Indore City</v>
      </c>
      <c r="C16" s="10" t="str">
        <f ca="1">IFERROR(__xludf.DUMMYFUNCTION("""COMPUTED_VALUE"""),"govt. holkar science college")</f>
        <v>govt. holkar science college</v>
      </c>
      <c r="D16" s="10">
        <f ca="1">IFERROR(__xludf.DUMMYFUNCTION("""COMPUTED_VALUE"""),1598560103)</f>
        <v>1598560103</v>
      </c>
      <c r="E16" s="12">
        <f ca="1">IFERROR(__xludf.DUMMYFUNCTION("""COMPUTED_VALUE"""),46146)</f>
        <v>46146</v>
      </c>
      <c r="F16" s="10"/>
      <c r="G16" s="10" t="str">
        <f ca="1">IFERROR(__xludf.DUMMYFUNCTION("""COMPUTED_VALUE"""),"B2C")</f>
        <v>B2C</v>
      </c>
      <c r="H16" s="10" t="str">
        <f ca="1">IFERROR(__xludf.DUMMYFUNCTION("""COMPUTED_VALUE"""),"Rahul Panchal")</f>
        <v>Rahul Panchal</v>
      </c>
    </row>
    <row r="17" spans="1:8">
      <c r="A17" s="10">
        <f ca="1">IFERROR(__xludf.DUMMYFUNCTION("""COMPUTED_VALUE"""),16)</f>
        <v>16</v>
      </c>
      <c r="B17" s="10" t="str">
        <f ca="1">IFERROR(__xludf.DUMMYFUNCTION("""COMPUTED_VALUE"""),"Indore City")</f>
        <v>Indore City</v>
      </c>
      <c r="C17" s="10" t="str">
        <f ca="1">IFERROR(__xludf.DUMMYFUNCTION("""COMPUTED_VALUE"""),"NAVPRAN ENTERPRISES PVT LTD")</f>
        <v>NAVPRAN ENTERPRISES PVT LTD</v>
      </c>
      <c r="D17" s="10">
        <f ca="1">IFERROR(__xludf.DUMMYFUNCTION("""COMPUTED_VALUE"""),1751940875)</f>
        <v>1751940875</v>
      </c>
      <c r="E17" s="12">
        <f ca="1">IFERROR(__xludf.DUMMYFUNCTION("""COMPUTED_VALUE"""),46154)</f>
        <v>46154</v>
      </c>
      <c r="F17" s="10"/>
      <c r="G17" s="10" t="str">
        <f ca="1">IFERROR(__xludf.DUMMYFUNCTION("""COMPUTED_VALUE"""),"B2C")</f>
        <v>B2C</v>
      </c>
      <c r="H17" s="10" t="str">
        <f ca="1">IFERROR(__xludf.DUMMYFUNCTION("""COMPUTED_VALUE"""),"Jalaj Rawat")</f>
        <v>Jalaj Rawat</v>
      </c>
    </row>
    <row r="18" spans="1:8">
      <c r="A18" s="10">
        <f ca="1">IFERROR(__xludf.DUMMYFUNCTION("""COMPUTED_VALUE"""),17)</f>
        <v>17</v>
      </c>
      <c r="B18" s="10" t="str">
        <f ca="1">IFERROR(__xludf.DUMMYFUNCTION("""COMPUTED_VALUE"""),"Indore City")</f>
        <v>Indore City</v>
      </c>
      <c r="C18" s="10" t="str">
        <f ca="1">IFERROR(__xludf.DUMMYFUNCTION("""COMPUTED_VALUE"""),"AAHARSUDHI")</f>
        <v>AAHARSUDHI</v>
      </c>
      <c r="D18" s="10">
        <f ca="1">IFERROR(__xludf.DUMMYFUNCTION("""COMPUTED_VALUE"""),1404760827)</f>
        <v>1404760827</v>
      </c>
      <c r="E18" s="12">
        <f ca="1">IFERROR(__xludf.DUMMYFUNCTION("""COMPUTED_VALUE"""),46157)</f>
        <v>46157</v>
      </c>
      <c r="F18" s="10"/>
      <c r="G18" s="10" t="str">
        <f ca="1">IFERROR(__xludf.DUMMYFUNCTION("""COMPUTED_VALUE"""),"B2C")</f>
        <v>B2C</v>
      </c>
      <c r="H18" s="10" t="str">
        <f ca="1">IFERROR(__xludf.DUMMYFUNCTION("""COMPUTED_VALUE"""),"Jalaj Rawat")</f>
        <v>Jalaj Rawat</v>
      </c>
    </row>
    <row r="19" spans="1:8">
      <c r="A19" s="10">
        <f ca="1">IFERROR(__xludf.DUMMYFUNCTION("""COMPUTED_VALUE"""),18)</f>
        <v>18</v>
      </c>
      <c r="B19" s="10" t="str">
        <f ca="1">IFERROR(__xludf.DUMMYFUNCTION("""COMPUTED_VALUE"""),"Indore City")</f>
        <v>Indore City</v>
      </c>
      <c r="C19" s="10" t="str">
        <f ca="1">IFERROR(__xludf.DUMMYFUNCTION("""COMPUTED_VALUE"""),"DNHS HEAL THCARE DEVICES PRIVATE LIMITED")</f>
        <v>DNHS HEAL THCARE DEVICES PRIVATE LIMITED</v>
      </c>
      <c r="D19" s="10">
        <f ca="1">IFERROR(__xludf.DUMMYFUNCTION("""COMPUTED_VALUE"""),1677646540)</f>
        <v>1677646540</v>
      </c>
      <c r="E19" s="12">
        <f ca="1">IFERROR(__xludf.DUMMYFUNCTION("""COMPUTED_VALUE"""),46157)</f>
        <v>46157</v>
      </c>
      <c r="F19" s="10"/>
      <c r="G19" s="10" t="str">
        <f ca="1">IFERROR(__xludf.DUMMYFUNCTION("""COMPUTED_VALUE"""),"B2C")</f>
        <v>B2C</v>
      </c>
      <c r="H19" s="10" t="str">
        <f ca="1">IFERROR(__xludf.DUMMYFUNCTION("""COMPUTED_VALUE"""),"Zuber Ahmed Khan")</f>
        <v>Zuber Ahmed Khan</v>
      </c>
    </row>
    <row r="20" spans="1:8">
      <c r="A20" s="10">
        <f ca="1">IFERROR(__xludf.DUMMYFUNCTION("""COMPUTED_VALUE"""),19)</f>
        <v>19</v>
      </c>
      <c r="B20" s="10" t="str">
        <f ca="1">IFERROR(__xludf.DUMMYFUNCTION("""COMPUTED_VALUE"""),"Indore City")</f>
        <v>Indore City</v>
      </c>
      <c r="C20" s="10" t="str">
        <f ca="1">IFERROR(__xludf.DUMMYFUNCTION("""COMPUTED_VALUE"""),"RAHI COLLECTION")</f>
        <v>RAHI COLLECTION</v>
      </c>
      <c r="D20" s="10">
        <f ca="1">IFERROR(__xludf.DUMMYFUNCTION("""COMPUTED_VALUE"""),1295229907)</f>
        <v>1295229907</v>
      </c>
      <c r="E20" s="12">
        <f ca="1">IFERROR(__xludf.DUMMYFUNCTION("""COMPUTED_VALUE"""),46157)</f>
        <v>46157</v>
      </c>
      <c r="F20" s="10"/>
      <c r="G20" s="10" t="str">
        <f ca="1">IFERROR(__xludf.DUMMYFUNCTION("""COMPUTED_VALUE"""),"B2C")</f>
        <v>B2C</v>
      </c>
      <c r="H20" s="10" t="str">
        <f ca="1">IFERROR(__xludf.DUMMYFUNCTION("""COMPUTED_VALUE"""),"Jalaj Rawat")</f>
        <v>Jalaj Rawat</v>
      </c>
    </row>
    <row r="21" spans="1:8">
      <c r="A21" s="10">
        <f ca="1">IFERROR(__xludf.DUMMYFUNCTION("""COMPUTED_VALUE"""),20)</f>
        <v>20</v>
      </c>
      <c r="B21" s="10" t="str">
        <f ca="1">IFERROR(__xludf.DUMMYFUNCTION("""COMPUTED_VALUE"""),"Indore City")</f>
        <v>Indore City</v>
      </c>
      <c r="C21" s="10" t="str">
        <f ca="1">IFERROR(__xludf.DUMMYFUNCTION("""COMPUTED_VALUE"""),"Superb Apparels")</f>
        <v>Superb Apparels</v>
      </c>
      <c r="D21" s="10">
        <f ca="1">IFERROR(__xludf.DUMMYFUNCTION("""COMPUTED_VALUE"""),1900618990)</f>
        <v>1900618990</v>
      </c>
      <c r="E21" s="12">
        <f ca="1">IFERROR(__xludf.DUMMYFUNCTION("""COMPUTED_VALUE"""),46157)</f>
        <v>46157</v>
      </c>
      <c r="F21" s="10"/>
      <c r="G21" s="10" t="str">
        <f ca="1">IFERROR(__xludf.DUMMYFUNCTION("""COMPUTED_VALUE"""),"B2C")</f>
        <v>B2C</v>
      </c>
      <c r="H21" s="10" t="str">
        <f ca="1">IFERROR(__xludf.DUMMYFUNCTION("""COMPUTED_VALUE"""),"Jalaj Rawat")</f>
        <v>Jalaj Rawat</v>
      </c>
    </row>
    <row r="22" spans="1:8">
      <c r="A22" s="10">
        <f ca="1">IFERROR(__xludf.DUMMYFUNCTION("""COMPUTED_VALUE"""),21)</f>
        <v>21</v>
      </c>
      <c r="B22" s="10" t="str">
        <f ca="1">IFERROR(__xludf.DUMMYFUNCTION("""COMPUTED_VALUE"""),"Indore City")</f>
        <v>Indore City</v>
      </c>
      <c r="C22" s="10" t="str">
        <f ca="1">IFERROR(__xludf.DUMMYFUNCTION("""COMPUTED_VALUE"""),"SWASTIKA INVESTMART LIMITED")</f>
        <v>SWASTIKA INVESTMART LIMITED</v>
      </c>
      <c r="D22" s="10">
        <f ca="1">IFERROR(__xludf.DUMMYFUNCTION("""COMPUTED_VALUE"""),1995115361)</f>
        <v>1995115361</v>
      </c>
      <c r="E22" s="12">
        <f ca="1">IFERROR(__xludf.DUMMYFUNCTION("""COMPUTED_VALUE"""),46160)</f>
        <v>46160</v>
      </c>
      <c r="F22" s="10"/>
      <c r="G22" s="10" t="str">
        <f ca="1">IFERROR(__xludf.DUMMYFUNCTION("""COMPUTED_VALUE"""),"B2C")</f>
        <v>B2C</v>
      </c>
      <c r="H22" s="10" t="str">
        <f ca="1">IFERROR(__xludf.DUMMYFUNCTION("""COMPUTED_VALUE"""),"Zuber Ahmed Khan")</f>
        <v>Zuber Ahmed Khan</v>
      </c>
    </row>
    <row r="23" spans="1:8">
      <c r="A23" s="10">
        <f ca="1">IFERROR(__xludf.DUMMYFUNCTION("""COMPUTED_VALUE"""),22)</f>
        <v>22</v>
      </c>
      <c r="B23" s="10" t="str">
        <f ca="1">IFERROR(__xludf.DUMMYFUNCTION("""COMPUTED_VALUE"""),"Indore City")</f>
        <v>Indore City</v>
      </c>
      <c r="C23" s="10" t="str">
        <f ca="1">IFERROR(__xludf.DUMMYFUNCTION("""COMPUTED_VALUE"""),"CDTL Indore")</f>
        <v>CDTL Indore</v>
      </c>
      <c r="D23" s="10">
        <f ca="1">IFERROR(__xludf.DUMMYFUNCTION("""COMPUTED_VALUE"""),1928644086)</f>
        <v>1928644086</v>
      </c>
      <c r="E23" s="12">
        <f ca="1">IFERROR(__xludf.DUMMYFUNCTION("""COMPUTED_VALUE"""),46161)</f>
        <v>46161</v>
      </c>
      <c r="F23" s="10"/>
      <c r="G23" s="10" t="str">
        <f ca="1">IFERROR(__xludf.DUMMYFUNCTION("""COMPUTED_VALUE"""),"B2C")</f>
        <v>B2C</v>
      </c>
      <c r="H23" s="10" t="str">
        <f ca="1">IFERROR(__xludf.DUMMYFUNCTION("""COMPUTED_VALUE"""),"Jalaj Rawat")</f>
        <v>Jalaj Rawat</v>
      </c>
    </row>
    <row r="24" spans="1:8">
      <c r="A24" s="10">
        <f ca="1">IFERROR(__xludf.DUMMYFUNCTION("""COMPUTED_VALUE"""),23)</f>
        <v>23</v>
      </c>
      <c r="B24" s="10" t="str">
        <f ca="1">IFERROR(__xludf.DUMMYFUNCTION("""COMPUTED_VALUE"""),"Indore City")</f>
        <v>Indore City</v>
      </c>
      <c r="C24" s="10" t="str">
        <f ca="1">IFERROR(__xludf.DUMMYFUNCTION("""COMPUTED_VALUE"""),"ELEGANCE")</f>
        <v>ELEGANCE</v>
      </c>
      <c r="D24" s="10">
        <f ca="1">IFERROR(__xludf.DUMMYFUNCTION("""COMPUTED_VALUE"""),1484254269)</f>
        <v>1484254269</v>
      </c>
      <c r="E24" s="12">
        <f ca="1">IFERROR(__xludf.DUMMYFUNCTION("""COMPUTED_VALUE"""),46169)</f>
        <v>46169</v>
      </c>
      <c r="F24" s="10"/>
      <c r="G24" s="10" t="str">
        <f ca="1">IFERROR(__xludf.DUMMYFUNCTION("""COMPUTED_VALUE"""),"B2C")</f>
        <v>B2C</v>
      </c>
      <c r="H24" s="10" t="str">
        <f ca="1">IFERROR(__xludf.DUMMYFUNCTION("""COMPUTED_VALUE"""),"Rahul Panchal")</f>
        <v>Rahul Panchal</v>
      </c>
    </row>
    <row r="25" spans="1:8">
      <c r="A25" s="10">
        <f ca="1">IFERROR(__xludf.DUMMYFUNCTION("""COMPUTED_VALUE"""),24)</f>
        <v>24</v>
      </c>
      <c r="B25" s="10" t="str">
        <f ca="1">IFERROR(__xludf.DUMMYFUNCTION("""COMPUTED_VALUE"""),"Indore City")</f>
        <v>Indore City</v>
      </c>
      <c r="C25" s="10" t="str">
        <f ca="1">IFERROR(__xludf.DUMMYFUNCTION("""COMPUTED_VALUE"""),"Grandeur Ventures International")</f>
        <v>Grandeur Ventures International</v>
      </c>
      <c r="D25" s="10">
        <f ca="1">IFERROR(__xludf.DUMMYFUNCTION("""COMPUTED_VALUE"""),1316759247)</f>
        <v>1316759247</v>
      </c>
      <c r="E25" s="12">
        <f ca="1">IFERROR(__xludf.DUMMYFUNCTION("""COMPUTED_VALUE"""),46169)</f>
        <v>46169</v>
      </c>
      <c r="F25" s="10"/>
      <c r="G25" s="10" t="str">
        <f ca="1">IFERROR(__xludf.DUMMYFUNCTION("""COMPUTED_VALUE"""),"B2C")</f>
        <v>B2C</v>
      </c>
      <c r="H25" s="10" t="str">
        <f ca="1">IFERROR(__xludf.DUMMYFUNCTION("""COMPUTED_VALUE"""),"Jalaj Rawat")</f>
        <v>Jalaj Rawat</v>
      </c>
    </row>
    <row r="26" spans="1:8">
      <c r="A26" s="10">
        <f ca="1">IFERROR(__xludf.DUMMYFUNCTION("""COMPUTED_VALUE"""),25)</f>
        <v>25</v>
      </c>
      <c r="B26" s="10" t="str">
        <f ca="1">IFERROR(__xludf.DUMMYFUNCTION("""COMPUTED_VALUE"""),"Indore City")</f>
        <v>Indore City</v>
      </c>
      <c r="C26" s="10" t="str">
        <f ca="1">IFERROR(__xludf.DUMMYFUNCTION("""COMPUTED_VALUE"""),"INDIAN OVERSEAS BANK")</f>
        <v>INDIAN OVERSEAS BANK</v>
      </c>
      <c r="D26" s="10">
        <f ca="1">IFERROR(__xludf.DUMMYFUNCTION("""COMPUTED_VALUE"""),1728296339)</f>
        <v>1728296339</v>
      </c>
      <c r="E26" s="12">
        <f ca="1">IFERROR(__xludf.DUMMYFUNCTION("""COMPUTED_VALUE"""),46169)</f>
        <v>46169</v>
      </c>
      <c r="F26" s="10"/>
      <c r="G26" s="10" t="str">
        <f ca="1">IFERROR(__xludf.DUMMYFUNCTION("""COMPUTED_VALUE"""),"B2C")</f>
        <v>B2C</v>
      </c>
      <c r="H26" s="10" t="str">
        <f ca="1">IFERROR(__xludf.DUMMYFUNCTION("""COMPUTED_VALUE"""),"Rahul Panchal")</f>
        <v>Rahul Panchal</v>
      </c>
    </row>
    <row r="27" spans="1:8">
      <c r="A27" s="10">
        <f ca="1">IFERROR(__xludf.DUMMYFUNCTION("""COMPUTED_VALUE"""),26)</f>
        <v>26</v>
      </c>
      <c r="B27" s="10" t="str">
        <f ca="1">IFERROR(__xludf.DUMMYFUNCTION("""COMPUTED_VALUE"""),"Indore City")</f>
        <v>Indore City</v>
      </c>
      <c r="C27" s="10" t="str">
        <f ca="1">IFERROR(__xludf.DUMMYFUNCTION("""COMPUTED_VALUE"""),"LABU INTERNATIONAL")</f>
        <v>LABU INTERNATIONAL</v>
      </c>
      <c r="D27" s="10">
        <f ca="1">IFERROR(__xludf.DUMMYFUNCTION("""COMPUTED_VALUE"""),1660828615)</f>
        <v>1660828615</v>
      </c>
      <c r="E27" s="12">
        <f ca="1">IFERROR(__xludf.DUMMYFUNCTION("""COMPUTED_VALUE"""),46169)</f>
        <v>46169</v>
      </c>
      <c r="F27" s="10"/>
      <c r="G27" s="10" t="str">
        <f ca="1">IFERROR(__xludf.DUMMYFUNCTION("""COMPUTED_VALUE"""),"B2C")</f>
        <v>B2C</v>
      </c>
      <c r="H27" s="10" t="str">
        <f ca="1">IFERROR(__xludf.DUMMYFUNCTION("""COMPUTED_VALUE"""),"Jalaj Rawat")</f>
        <v>Jalaj Rawat</v>
      </c>
    </row>
    <row r="28" spans="1:8">
      <c r="A28" s="10">
        <f ca="1">IFERROR(__xludf.DUMMYFUNCTION("""COMPUTED_VALUE"""),27)</f>
        <v>27</v>
      </c>
      <c r="B28" s="10" t="str">
        <f ca="1">IFERROR(__xludf.DUMMYFUNCTION("""COMPUTED_VALUE"""),"Indore City")</f>
        <v>Indore City</v>
      </c>
      <c r="C28" s="10" t="str">
        <f ca="1">IFERROR(__xludf.DUMMYFUNCTION("""COMPUTED_VALUE"""),"SANJEEVANI AYURVEDIC")</f>
        <v>SANJEEVANI AYURVEDIC</v>
      </c>
      <c r="D28" s="10">
        <f ca="1">IFERROR(__xludf.DUMMYFUNCTION("""COMPUTED_VALUE"""),1132126422)</f>
        <v>1132126422</v>
      </c>
      <c r="E28" s="12">
        <f ca="1">IFERROR(__xludf.DUMMYFUNCTION("""COMPUTED_VALUE"""),46169)</f>
        <v>46169</v>
      </c>
      <c r="F28" s="10"/>
      <c r="G28" s="10" t="str">
        <f ca="1">IFERROR(__xludf.DUMMYFUNCTION("""COMPUTED_VALUE"""),"B2C")</f>
        <v>B2C</v>
      </c>
      <c r="H28" s="10" t="str">
        <f ca="1">IFERROR(__xludf.DUMMYFUNCTION("""COMPUTED_VALUE"""),"Rahul Panchal")</f>
        <v>Rahul Panchal</v>
      </c>
    </row>
    <row r="29" spans="1:8">
      <c r="A29" s="10">
        <f ca="1">IFERROR(__xludf.DUMMYFUNCTION("""COMPUTED_VALUE"""),28)</f>
        <v>28</v>
      </c>
      <c r="B29" s="10" t="str">
        <f ca="1">IFERROR(__xludf.DUMMYFUNCTION("""COMPUTED_VALUE"""),"Indore City")</f>
        <v>Indore City</v>
      </c>
      <c r="C29" s="10" t="str">
        <f ca="1">IFERROR(__xludf.DUMMYFUNCTION("""COMPUTED_VALUE"""),"STATE BANK OF INDIA HIGH COURT BRANCH")</f>
        <v>STATE BANK OF INDIA HIGH COURT BRANCH</v>
      </c>
      <c r="D29" s="10">
        <f ca="1">IFERROR(__xludf.DUMMYFUNCTION("""COMPUTED_VALUE"""),1838482754)</f>
        <v>1838482754</v>
      </c>
      <c r="E29" s="12">
        <f ca="1">IFERROR(__xludf.DUMMYFUNCTION("""COMPUTED_VALUE"""),46169)</f>
        <v>46169</v>
      </c>
      <c r="F29" s="10"/>
      <c r="G29" s="10" t="str">
        <f ca="1">IFERROR(__xludf.DUMMYFUNCTION("""COMPUTED_VALUE"""),"B2C")</f>
        <v>B2C</v>
      </c>
      <c r="H29" s="10" t="str">
        <f ca="1">IFERROR(__xludf.DUMMYFUNCTION("""COMPUTED_VALUE"""),"Zuber Ahmed Khan")</f>
        <v>Zuber Ahmed Khan</v>
      </c>
    </row>
    <row r="30" spans="1:8">
      <c r="A30" s="10">
        <f ca="1">IFERROR(__xludf.DUMMYFUNCTION("""COMPUTED_VALUE"""),29)</f>
        <v>29</v>
      </c>
      <c r="B30" s="10" t="str">
        <f ca="1">IFERROR(__xludf.DUMMYFUNCTION("""COMPUTED_VALUE"""),"Indore City")</f>
        <v>Indore City</v>
      </c>
      <c r="C30" s="10" t="str">
        <f ca="1">IFERROR(__xludf.DUMMYFUNCTION("""COMPUTED_VALUE"""),"Union Bank Of India Regal Square")</f>
        <v>Union Bank Of India Regal Square</v>
      </c>
      <c r="D30" s="10">
        <f ca="1">IFERROR(__xludf.DUMMYFUNCTION("""COMPUTED_VALUE"""),1329301695)</f>
        <v>1329301695</v>
      </c>
      <c r="E30" s="12">
        <f ca="1">IFERROR(__xludf.DUMMYFUNCTION("""COMPUTED_VALUE"""),46169)</f>
        <v>46169</v>
      </c>
      <c r="F30" s="10"/>
      <c r="G30" s="10" t="str">
        <f ca="1">IFERROR(__xludf.DUMMYFUNCTION("""COMPUTED_VALUE"""),"B2C")</f>
        <v>B2C</v>
      </c>
      <c r="H30" s="10" t="str">
        <f ca="1">IFERROR(__xludf.DUMMYFUNCTION("""COMPUTED_VALUE"""),"Jalaj Rawat")</f>
        <v>Jalaj Rawat</v>
      </c>
    </row>
    <row r="31" spans="1:8">
      <c r="A31" s="10">
        <f ca="1">IFERROR(__xludf.DUMMYFUNCTION("""COMPUTED_VALUE"""),30)</f>
        <v>30</v>
      </c>
      <c r="B31" s="10" t="str">
        <f ca="1">IFERROR(__xludf.DUMMYFUNCTION("""COMPUTED_VALUE"""),"Indore City")</f>
        <v>Indore City</v>
      </c>
      <c r="C31" s="10" t="str">
        <f ca="1">IFERROR(__xludf.DUMMYFUNCTION("""COMPUTED_VALUE"""),"Indusind General Insurance Company Ltd")</f>
        <v>Indusind General Insurance Company Ltd</v>
      </c>
      <c r="D31" s="10">
        <f ca="1">IFERROR(__xludf.DUMMYFUNCTION("""COMPUTED_VALUE"""),3000009588)</f>
        <v>3000009588</v>
      </c>
      <c r="E31" s="12">
        <f ca="1">IFERROR(__xludf.DUMMYFUNCTION("""COMPUTED_VALUE"""),46174)</f>
        <v>46174</v>
      </c>
      <c r="F31" s="10"/>
      <c r="G31" s="10" t="str">
        <f ca="1">IFERROR(__xludf.DUMMYFUNCTION("""COMPUTED_VALUE"""),"B2C")</f>
        <v>B2C</v>
      </c>
      <c r="H31" s="10" t="str">
        <f ca="1">IFERROR(__xludf.DUMMYFUNCTION("""COMPUTED_VALUE"""),"Jalaj Rawat")</f>
        <v>Jalaj Rawat</v>
      </c>
    </row>
    <row r="32" spans="1:8">
      <c r="A32" s="10">
        <f ca="1">IFERROR(__xludf.DUMMYFUNCTION("""COMPUTED_VALUE"""),31)</f>
        <v>31</v>
      </c>
      <c r="B32" s="10" t="str">
        <f ca="1">IFERROR(__xludf.DUMMYFUNCTION("""COMPUTED_VALUE"""),"Indore City")</f>
        <v>Indore City</v>
      </c>
      <c r="C32" s="10" t="str">
        <f ca="1">IFERROR(__xludf.DUMMYFUNCTION("""COMPUTED_VALUE"""),"SIPL DATA SERVICES")</f>
        <v>SIPL DATA SERVICES</v>
      </c>
      <c r="D32" s="10">
        <f ca="1">IFERROR(__xludf.DUMMYFUNCTION("""COMPUTED_VALUE"""),1804236062)</f>
        <v>1804236062</v>
      </c>
      <c r="E32" s="12">
        <f ca="1">IFERROR(__xludf.DUMMYFUNCTION("""COMPUTED_VALUE"""),46174)</f>
        <v>46174</v>
      </c>
      <c r="F32" s="10"/>
      <c r="G32" s="10" t="str">
        <f ca="1">IFERROR(__xludf.DUMMYFUNCTION("""COMPUTED_VALUE"""),"B2C")</f>
        <v>B2C</v>
      </c>
      <c r="H32" s="10" t="str">
        <f ca="1">IFERROR(__xludf.DUMMYFUNCTION("""COMPUTED_VALUE"""),"Jalaj Rawat")</f>
        <v>Jalaj Rawat</v>
      </c>
    </row>
    <row r="33" spans="1:8">
      <c r="A33" s="10">
        <f ca="1">IFERROR(__xludf.DUMMYFUNCTION("""COMPUTED_VALUE"""),32)</f>
        <v>32</v>
      </c>
      <c r="B33" s="10" t="str">
        <f ca="1">IFERROR(__xludf.DUMMYFUNCTION("""COMPUTED_VALUE"""),"Indore City")</f>
        <v>Indore City</v>
      </c>
      <c r="C33" s="10" t="str">
        <f ca="1">IFERROR(__xludf.DUMMYFUNCTION("""COMPUTED_VALUE"""),"National insurance co. Ltd. IRO")</f>
        <v>National insurance co. Ltd. IRO</v>
      </c>
      <c r="D33" s="10">
        <f ca="1">IFERROR(__xludf.DUMMYFUNCTION("""COMPUTED_VALUE"""),1161465239)</f>
        <v>1161465239</v>
      </c>
      <c r="E33" s="12">
        <f ca="1">IFERROR(__xludf.DUMMYFUNCTION("""COMPUTED_VALUE"""),46176)</f>
        <v>46176</v>
      </c>
      <c r="F33" s="10"/>
      <c r="G33" s="10" t="str">
        <f ca="1">IFERROR(__xludf.DUMMYFUNCTION("""COMPUTED_VALUE"""),"B2C")</f>
        <v>B2C</v>
      </c>
      <c r="H33" s="10" t="str">
        <f ca="1">IFERROR(__xludf.DUMMYFUNCTION("""COMPUTED_VALUE"""),"Jalaj Rawat")</f>
        <v>Jalaj Rawat</v>
      </c>
    </row>
    <row r="34" spans="1:8">
      <c r="A34" s="10">
        <f ca="1">IFERROR(__xludf.DUMMYFUNCTION("""COMPUTED_VALUE"""),33)</f>
        <v>33</v>
      </c>
      <c r="B34" s="10" t="str">
        <f ca="1">IFERROR(__xludf.DUMMYFUNCTION("""COMPUTED_VALUE"""),"Indore City")</f>
        <v>Indore City</v>
      </c>
      <c r="C34" s="10" t="str">
        <f ca="1">IFERROR(__xludf.DUMMYFUNCTION("""COMPUTED_VALUE"""),"FIT FOR MAN")</f>
        <v>FIT FOR MAN</v>
      </c>
      <c r="D34" s="10">
        <f ca="1">IFERROR(__xludf.DUMMYFUNCTION("""COMPUTED_VALUE"""),1533129385)</f>
        <v>1533129385</v>
      </c>
      <c r="E34" s="12">
        <f ca="1">IFERROR(__xludf.DUMMYFUNCTION("""COMPUTED_VALUE"""),46182)</f>
        <v>46182</v>
      </c>
      <c r="F34" s="10"/>
      <c r="G34" s="10" t="str">
        <f ca="1">IFERROR(__xludf.DUMMYFUNCTION("""COMPUTED_VALUE"""),"B2C")</f>
        <v>B2C</v>
      </c>
      <c r="H34" s="10" t="str">
        <f ca="1">IFERROR(__xludf.DUMMYFUNCTION("""COMPUTED_VALUE"""),"Zuber Ahmed Khan")</f>
        <v>Zuber Ahmed Khan</v>
      </c>
    </row>
    <row r="35" spans="1:8">
      <c r="A35" s="10">
        <f ca="1">IFERROR(__xludf.DUMMYFUNCTION("""COMPUTED_VALUE"""),34)</f>
        <v>34</v>
      </c>
      <c r="B35" s="10" t="str">
        <f ca="1">IFERROR(__xludf.DUMMYFUNCTION("""COMPUTED_VALUE"""),"Indore City")</f>
        <v>Indore City</v>
      </c>
      <c r="C35" s="10" t="str">
        <f ca="1">IFERROR(__xludf.DUMMYFUNCTION("""COMPUTED_VALUE"""),"LAKSHYA OVERSEAS EDUCATION")</f>
        <v>LAKSHYA OVERSEAS EDUCATION</v>
      </c>
      <c r="D35" s="10">
        <f ca="1">IFERROR(__xludf.DUMMYFUNCTION("""COMPUTED_VALUE"""),1129271649)</f>
        <v>1129271649</v>
      </c>
      <c r="E35" s="12">
        <f ca="1">IFERROR(__xludf.DUMMYFUNCTION("""COMPUTED_VALUE"""),46182)</f>
        <v>46182</v>
      </c>
      <c r="F35" s="10"/>
      <c r="G35" s="10" t="str">
        <f ca="1">IFERROR(__xludf.DUMMYFUNCTION("""COMPUTED_VALUE"""),"B2C")</f>
        <v>B2C</v>
      </c>
      <c r="H35" s="10" t="str">
        <f ca="1">IFERROR(__xludf.DUMMYFUNCTION("""COMPUTED_VALUE"""),"Rahul Panchal")</f>
        <v>Rahul Panchal</v>
      </c>
    </row>
    <row r="36" spans="1:8">
      <c r="A36" s="10">
        <f ca="1">IFERROR(__xludf.DUMMYFUNCTION("""COMPUTED_VALUE"""),35)</f>
        <v>35</v>
      </c>
      <c r="B36" s="10" t="str">
        <f ca="1">IFERROR(__xludf.DUMMYFUNCTION("""COMPUTED_VALUE"""),"Indore City")</f>
        <v>Indore City</v>
      </c>
      <c r="C36" s="10" t="str">
        <f ca="1">IFERROR(__xludf.DUMMYFUNCTION("""COMPUTED_VALUE"""),"Patanjali Foods Limited")</f>
        <v>Patanjali Foods Limited</v>
      </c>
      <c r="D36" s="10">
        <f ca="1">IFERROR(__xludf.DUMMYFUNCTION("""COMPUTED_VALUE"""),1422857286)</f>
        <v>1422857286</v>
      </c>
      <c r="E36" s="12">
        <f ca="1">IFERROR(__xludf.DUMMYFUNCTION("""COMPUTED_VALUE"""),46182)</f>
        <v>46182</v>
      </c>
      <c r="F36" s="10"/>
      <c r="G36" s="10" t="str">
        <f ca="1">IFERROR(__xludf.DUMMYFUNCTION("""COMPUTED_VALUE"""),"B2C")</f>
        <v>B2C</v>
      </c>
      <c r="H36" s="10" t="str">
        <f ca="1">IFERROR(__xludf.DUMMYFUNCTION("""COMPUTED_VALUE"""),"Jalaj Rawat")</f>
        <v>Jalaj Rawat</v>
      </c>
    </row>
    <row r="37" spans="1:8">
      <c r="A37" s="10">
        <f ca="1">IFERROR(__xludf.DUMMYFUNCTION("""COMPUTED_VALUE"""),36)</f>
        <v>36</v>
      </c>
      <c r="B37" s="10" t="str">
        <f ca="1">IFERROR(__xludf.DUMMYFUNCTION("""COMPUTED_VALUE"""),"Indore City")</f>
        <v>Indore City</v>
      </c>
      <c r="C37" s="10" t="str">
        <f ca="1">IFERROR(__xludf.DUMMYFUNCTION("""COMPUTED_VALUE"""),"Union Bank of India ARB Branch")</f>
        <v>Union Bank of India ARB Branch</v>
      </c>
      <c r="D37" s="10">
        <f ca="1">IFERROR(__xludf.DUMMYFUNCTION("""COMPUTED_VALUE"""),1943080486)</f>
        <v>1943080486</v>
      </c>
      <c r="E37" s="12">
        <f ca="1">IFERROR(__xludf.DUMMYFUNCTION("""COMPUTED_VALUE"""),46182)</f>
        <v>46182</v>
      </c>
      <c r="F37" s="10"/>
      <c r="G37" s="10" t="str">
        <f ca="1">IFERROR(__xludf.DUMMYFUNCTION("""COMPUTED_VALUE"""),"B2C")</f>
        <v>B2C</v>
      </c>
      <c r="H37" s="10" t="str">
        <f ca="1">IFERROR(__xludf.DUMMYFUNCTION("""COMPUTED_VALUE"""),"Zuber Ahmed Khan")</f>
        <v>Zuber Ahmed Khan</v>
      </c>
    </row>
    <row r="38" spans="1:8">
      <c r="A38" s="10">
        <f ca="1">IFERROR(__xludf.DUMMYFUNCTION("""COMPUTED_VALUE"""),37)</f>
        <v>37</v>
      </c>
      <c r="B38" s="10" t="str">
        <f ca="1">IFERROR(__xludf.DUMMYFUNCTION("""COMPUTED_VALUE"""),"Indore City")</f>
        <v>Indore City</v>
      </c>
      <c r="C38" s="10" t="str">
        <f ca="1">IFERROR(__xludf.DUMMYFUNCTION("""COMPUTED_VALUE"""),"VATYA THE LABEL")</f>
        <v>VATYA THE LABEL</v>
      </c>
      <c r="D38" s="10">
        <f ca="1">IFERROR(__xludf.DUMMYFUNCTION("""COMPUTED_VALUE"""),1188407437)</f>
        <v>1188407437</v>
      </c>
      <c r="E38" s="12">
        <f ca="1">IFERROR(__xludf.DUMMYFUNCTION("""COMPUTED_VALUE"""),46182)</f>
        <v>46182</v>
      </c>
      <c r="F38" s="10"/>
      <c r="G38" s="10" t="str">
        <f ca="1">IFERROR(__xludf.DUMMYFUNCTION("""COMPUTED_VALUE"""),"B2C")</f>
        <v>B2C</v>
      </c>
      <c r="H38" s="10" t="str">
        <f ca="1">IFERROR(__xludf.DUMMYFUNCTION("""COMPUTED_VALUE"""),"Rahul Panchal")</f>
        <v>Rahul Panchal</v>
      </c>
    </row>
    <row r="39" spans="1:8">
      <c r="A39" s="10">
        <f ca="1">IFERROR(__xludf.DUMMYFUNCTION("""COMPUTED_VALUE"""),38)</f>
        <v>38</v>
      </c>
      <c r="B39" s="10" t="str">
        <f ca="1">IFERROR(__xludf.DUMMYFUNCTION("""COMPUTED_VALUE"""),"Indore City")</f>
        <v>Indore City</v>
      </c>
      <c r="C39" s="10" t="str">
        <f ca="1">IFERROR(__xludf.DUMMYFUNCTION("""COMPUTED_VALUE"""),"MUKUL LEARNING SYSTEMS LLP")</f>
        <v>MUKUL LEARNING SYSTEMS LLP</v>
      </c>
      <c r="D39" s="10">
        <f ca="1">IFERROR(__xludf.DUMMYFUNCTION("""COMPUTED_VALUE"""),1808596663)</f>
        <v>1808596663</v>
      </c>
      <c r="E39" s="12">
        <f ca="1">IFERROR(__xludf.DUMMYFUNCTION("""COMPUTED_VALUE"""),46195)</f>
        <v>46195</v>
      </c>
      <c r="F39" s="10"/>
      <c r="G39" s="10" t="str">
        <f ca="1">IFERROR(__xludf.DUMMYFUNCTION("""COMPUTED_VALUE"""),"B2C")</f>
        <v>B2C</v>
      </c>
      <c r="H39" s="10" t="str">
        <f ca="1">IFERROR(__xludf.DUMMYFUNCTION("""COMPUTED_VALUE"""),"Zuber Ahmed Khan")</f>
        <v>Zuber Ahmed Khan</v>
      </c>
    </row>
    <row r="40" spans="1:8">
      <c r="A40" s="10">
        <f ca="1">IFERROR(__xludf.DUMMYFUNCTION("""COMPUTED_VALUE"""),39)</f>
        <v>39</v>
      </c>
      <c r="B40" s="10" t="str">
        <f ca="1">IFERROR(__xludf.DUMMYFUNCTION("""COMPUTED_VALUE"""),"Indore City")</f>
        <v>Indore City</v>
      </c>
      <c r="C40" s="10" t="str">
        <f ca="1">IFERROR(__xludf.DUMMYFUNCTION("""COMPUTED_VALUE"""),"The Easy Shopping")</f>
        <v>The Easy Shopping</v>
      </c>
      <c r="D40" s="10">
        <f ca="1">IFERROR(__xludf.DUMMYFUNCTION("""COMPUTED_VALUE"""),1583054640)</f>
        <v>1583054640</v>
      </c>
      <c r="E40" s="12">
        <f ca="1">IFERROR(__xludf.DUMMYFUNCTION("""COMPUTED_VALUE"""),46195)</f>
        <v>46195</v>
      </c>
      <c r="F40" s="10"/>
      <c r="G40" s="10" t="str">
        <f ca="1">IFERROR(__xludf.DUMMYFUNCTION("""COMPUTED_VALUE"""),"B2C")</f>
        <v>B2C</v>
      </c>
      <c r="H40" s="10" t="str">
        <f ca="1">IFERROR(__xludf.DUMMYFUNCTION("""COMPUTED_VALUE"""),"Rahul Panchal")</f>
        <v>Rahul Panchal</v>
      </c>
    </row>
    <row r="41" spans="1:8">
      <c r="A41" s="10">
        <f ca="1">IFERROR(__xludf.DUMMYFUNCTION("""COMPUTED_VALUE"""),40)</f>
        <v>40</v>
      </c>
      <c r="B41" s="10" t="str">
        <f ca="1">IFERROR(__xludf.DUMMYFUNCTION("""COMPUTED_VALUE"""),"Indore City")</f>
        <v>Indore City</v>
      </c>
      <c r="C41" s="10" t="str">
        <f ca="1">IFERROR(__xludf.DUMMYFUNCTION("""COMPUTED_VALUE"""),"champion square")</f>
        <v>champion square</v>
      </c>
      <c r="D41" s="10">
        <f ca="1">IFERROR(__xludf.DUMMYFUNCTION("""COMPUTED_VALUE"""),1234253895)</f>
        <v>1234253895</v>
      </c>
      <c r="E41" s="12">
        <f ca="1">IFERROR(__xludf.DUMMYFUNCTION("""COMPUTED_VALUE"""),46197)</f>
        <v>46197</v>
      </c>
      <c r="F41" s="10"/>
      <c r="G41" s="10" t="str">
        <f ca="1">IFERROR(__xludf.DUMMYFUNCTION("""COMPUTED_VALUE"""),"B2C")</f>
        <v>B2C</v>
      </c>
      <c r="H41" s="10" t="str">
        <f ca="1">IFERROR(__xludf.DUMMYFUNCTION("""COMPUTED_VALUE"""),"Rahul Panchal")</f>
        <v>Rahul Panchal</v>
      </c>
    </row>
    <row r="42" spans="1:8">
      <c r="A42" s="10">
        <f ca="1">IFERROR(__xludf.DUMMYFUNCTION("""COMPUTED_VALUE"""),41)</f>
        <v>41</v>
      </c>
      <c r="B42" s="10" t="str">
        <f ca="1">IFERROR(__xludf.DUMMYFUNCTION("""COMPUTED_VALUE"""),"Indore City")</f>
        <v>Indore City</v>
      </c>
      <c r="C42" s="10" t="str">
        <f ca="1">IFERROR(__xludf.DUMMYFUNCTION("""COMPUTED_VALUE"""),"JK AGRO INPUTS LLP")</f>
        <v>JK AGRO INPUTS LLP</v>
      </c>
      <c r="D42" s="10">
        <f ca="1">IFERROR(__xludf.DUMMYFUNCTION("""COMPUTED_VALUE"""),1296712458)</f>
        <v>1296712458</v>
      </c>
      <c r="E42" s="12">
        <f ca="1">IFERROR(__xludf.DUMMYFUNCTION("""COMPUTED_VALUE"""),46197)</f>
        <v>46197</v>
      </c>
      <c r="F42" s="10"/>
      <c r="G42" s="10" t="str">
        <f ca="1">IFERROR(__xludf.DUMMYFUNCTION("""COMPUTED_VALUE"""),"B2C")</f>
        <v>B2C</v>
      </c>
      <c r="H42" s="10" t="str">
        <f ca="1">IFERROR(__xludf.DUMMYFUNCTION("""COMPUTED_VALUE"""),"Rahul Panchal")</f>
        <v>Rahul Panchal</v>
      </c>
    </row>
    <row r="43" spans="1:8">
      <c r="A43" s="10">
        <f ca="1">IFERROR(__xludf.DUMMYFUNCTION("""COMPUTED_VALUE"""),42)</f>
        <v>42</v>
      </c>
      <c r="B43" s="10" t="str">
        <f ca="1">IFERROR(__xludf.DUMMYFUNCTION("""COMPUTED_VALUE"""),"Indore City")</f>
        <v>Indore City</v>
      </c>
      <c r="C43" s="10" t="str">
        <f ca="1">IFERROR(__xludf.DUMMYFUNCTION("""COMPUTED_VALUE"""),"MONTI ENTERPRISES")</f>
        <v>MONTI ENTERPRISES</v>
      </c>
      <c r="D43" s="10">
        <f ca="1">IFERROR(__xludf.DUMMYFUNCTION("""COMPUTED_VALUE"""),1909759008)</f>
        <v>1909759008</v>
      </c>
      <c r="E43" s="12">
        <f ca="1">IFERROR(__xludf.DUMMYFUNCTION("""COMPUTED_VALUE"""),46197)</f>
        <v>46197</v>
      </c>
      <c r="F43" s="10"/>
      <c r="G43" s="10" t="str">
        <f ca="1">IFERROR(__xludf.DUMMYFUNCTION("""COMPUTED_VALUE"""),"B2C")</f>
        <v>B2C</v>
      </c>
      <c r="H43" s="10" t="str">
        <f ca="1">IFERROR(__xludf.DUMMYFUNCTION("""COMPUTED_VALUE"""),"Jalaj Rawat")</f>
        <v>Jalaj Rawat</v>
      </c>
    </row>
    <row r="44" spans="1:8">
      <c r="A44" s="10">
        <f ca="1">IFERROR(__xludf.DUMMYFUNCTION("""COMPUTED_VALUE"""),43)</f>
        <v>43</v>
      </c>
      <c r="B44" s="10" t="str">
        <f ca="1">IFERROR(__xludf.DUMMYFUNCTION("""COMPUTED_VALUE"""),"Indore City")</f>
        <v>Indore City</v>
      </c>
      <c r="C44" s="10" t="str">
        <f ca="1">IFERROR(__xludf.DUMMYFUNCTION("""COMPUTED_VALUE"""),"NIROGYA JEEVAN")</f>
        <v>NIROGYA JEEVAN</v>
      </c>
      <c r="D44" s="10">
        <f ca="1">IFERROR(__xludf.DUMMYFUNCTION("""COMPUTED_VALUE"""),1160587323)</f>
        <v>1160587323</v>
      </c>
      <c r="E44" s="12">
        <f ca="1">IFERROR(__xludf.DUMMYFUNCTION("""COMPUTED_VALUE"""),46197)</f>
        <v>46197</v>
      </c>
      <c r="F44" s="10"/>
      <c r="G44" s="10" t="str">
        <f ca="1">IFERROR(__xludf.DUMMYFUNCTION("""COMPUTED_VALUE"""),"B2C")</f>
        <v>B2C</v>
      </c>
      <c r="H44" s="10" t="str">
        <f ca="1">IFERROR(__xludf.DUMMYFUNCTION("""COMPUTED_VALUE"""),"Zuber Ahmed Khan")</f>
        <v>Zuber Ahmed Khan</v>
      </c>
    </row>
    <row r="45" spans="1:8">
      <c r="A45" s="10">
        <f ca="1">IFERROR(__xludf.DUMMYFUNCTION("""COMPUTED_VALUE"""),44)</f>
        <v>44</v>
      </c>
      <c r="B45" s="10" t="str">
        <f ca="1">IFERROR(__xludf.DUMMYFUNCTION("""COMPUTED_VALUE"""),"Indore City")</f>
        <v>Indore City</v>
      </c>
      <c r="C45" s="10" t="str">
        <f ca="1">IFERROR(__xludf.DUMMYFUNCTION("""COMPUTED_VALUE"""),"PADMAKAR HANDCRAFTED SOAP")</f>
        <v>PADMAKAR HANDCRAFTED SOAP</v>
      </c>
      <c r="D45" s="10">
        <f ca="1">IFERROR(__xludf.DUMMYFUNCTION("""COMPUTED_VALUE"""),1743018894)</f>
        <v>1743018894</v>
      </c>
      <c r="E45" s="12">
        <f ca="1">IFERROR(__xludf.DUMMYFUNCTION("""COMPUTED_VALUE"""),46197)</f>
        <v>46197</v>
      </c>
      <c r="F45" s="10"/>
      <c r="G45" s="10" t="str">
        <f ca="1">IFERROR(__xludf.DUMMYFUNCTION("""COMPUTED_VALUE"""),"B2C")</f>
        <v>B2C</v>
      </c>
      <c r="H45" s="10" t="str">
        <f ca="1">IFERROR(__xludf.DUMMYFUNCTION("""COMPUTED_VALUE"""),"Zuber Ahmed Khan")</f>
        <v>Zuber Ahmed Khan</v>
      </c>
    </row>
    <row r="46" spans="1:8">
      <c r="A46" s="10">
        <f ca="1">IFERROR(__xludf.DUMMYFUNCTION("""COMPUTED_VALUE"""),45)</f>
        <v>45</v>
      </c>
      <c r="B46" s="10" t="str">
        <f ca="1">IFERROR(__xludf.DUMMYFUNCTION("""COMPUTED_VALUE"""),"Indore City")</f>
        <v>Indore City</v>
      </c>
      <c r="C46" s="10" t="str">
        <f ca="1">IFERROR(__xludf.DUMMYFUNCTION("""COMPUTED_VALUE"""),"TRP COTTON LINAN")</f>
        <v>TRP COTTON LINAN</v>
      </c>
      <c r="D46" s="10">
        <f ca="1">IFERROR(__xludf.DUMMYFUNCTION("""COMPUTED_VALUE"""),1845228720)</f>
        <v>1845228720</v>
      </c>
      <c r="E46" s="12">
        <f ca="1">IFERROR(__xludf.DUMMYFUNCTION("""COMPUTED_VALUE"""),46197)</f>
        <v>46197</v>
      </c>
      <c r="F46" s="10"/>
      <c r="G46" s="10" t="str">
        <f ca="1">IFERROR(__xludf.DUMMYFUNCTION("""COMPUTED_VALUE"""),"B2C")</f>
        <v>B2C</v>
      </c>
      <c r="H46" s="10" t="str">
        <f ca="1">IFERROR(__xludf.DUMMYFUNCTION("""COMPUTED_VALUE"""),"Jalaj Rawat")</f>
        <v>Jalaj Rawat</v>
      </c>
    </row>
    <row r="47" spans="1:8">
      <c r="A47" s="10">
        <f ca="1">IFERROR(__xludf.DUMMYFUNCTION("""COMPUTED_VALUE"""),46)</f>
        <v>46</v>
      </c>
      <c r="B47" s="10" t="str">
        <f ca="1">IFERROR(__xludf.DUMMYFUNCTION("""COMPUTED_VALUE"""),"Indore City")</f>
        <v>Indore City</v>
      </c>
      <c r="C47" s="10" t="str">
        <f ca="1">IFERROR(__xludf.DUMMYFUNCTION("""COMPUTED_VALUE"""),"SHRI BALAJI ENTERPRISES")</f>
        <v>SHRI BALAJI ENTERPRISES</v>
      </c>
      <c r="D47" s="10">
        <f ca="1">IFERROR(__xludf.DUMMYFUNCTION("""COMPUTED_VALUE"""),1133832663)</f>
        <v>1133832663</v>
      </c>
      <c r="E47" s="12">
        <f ca="1">IFERROR(__xludf.DUMMYFUNCTION("""COMPUTED_VALUE"""),46203)</f>
        <v>46203</v>
      </c>
      <c r="F47" s="10"/>
      <c r="G47" s="10" t="str">
        <f ca="1">IFERROR(__xludf.DUMMYFUNCTION("""COMPUTED_VALUE"""),"B2C")</f>
        <v>B2C</v>
      </c>
      <c r="H47" s="10" t="str">
        <f ca="1">IFERROR(__xludf.DUMMYFUNCTION("""COMPUTED_VALUE"""),"Rahul Panchal")</f>
        <v>Rahul Panchal</v>
      </c>
    </row>
    <row r="48" spans="1:8">
      <c r="A48" s="10">
        <f ca="1">IFERROR(__xludf.DUMMYFUNCTION("""COMPUTED_VALUE"""),47)</f>
        <v>47</v>
      </c>
      <c r="B48" s="10" t="str">
        <f ca="1">IFERROR(__xludf.DUMMYFUNCTION("""COMPUTED_VALUE"""),"Indore City")</f>
        <v>Indore City</v>
      </c>
      <c r="C48" s="10" t="str">
        <f ca="1">IFERROR(__xludf.DUMMYFUNCTION("""COMPUTED_VALUE"""),"UNIK NATURALS")</f>
        <v>UNIK NATURALS</v>
      </c>
      <c r="D48" s="10">
        <f ca="1">IFERROR(__xludf.DUMMYFUNCTION("""COMPUTED_VALUE"""),1913063058)</f>
        <v>1913063058</v>
      </c>
      <c r="E48" s="12">
        <f ca="1">IFERROR(__xludf.DUMMYFUNCTION("""COMPUTED_VALUE"""),46203)</f>
        <v>46203</v>
      </c>
      <c r="F48" s="10"/>
      <c r="G48" s="10" t="str">
        <f ca="1">IFERROR(__xludf.DUMMYFUNCTION("""COMPUTED_VALUE"""),"B2C")</f>
        <v>B2C</v>
      </c>
      <c r="H48" s="10" t="str">
        <f ca="1">IFERROR(__xludf.DUMMYFUNCTION("""COMPUTED_VALUE"""),"Jalaj Rawat")</f>
        <v>Jalaj Rawat</v>
      </c>
    </row>
    <row r="49" spans="1:8">
      <c r="A49" s="10">
        <f ca="1">IFERROR(__xludf.DUMMYFUNCTION("""COMPUTED_VALUE"""),48)</f>
        <v>48</v>
      </c>
      <c r="B49" s="10" t="str">
        <f ca="1">IFERROR(__xludf.DUMMYFUNCTION("""COMPUTED_VALUE"""),"Indore City")</f>
        <v>Indore City</v>
      </c>
      <c r="C49" s="10" t="str">
        <f ca="1">IFERROR(__xludf.DUMMYFUNCTION("""COMPUTED_VALUE"""),"Deliverdas Jyayase Pvt Ltd")</f>
        <v>Deliverdas Jyayase Pvt Ltd</v>
      </c>
      <c r="D49" s="10">
        <f ca="1">IFERROR(__xludf.DUMMYFUNCTION("""COMPUTED_VALUE"""),1425585353)</f>
        <v>1425585353</v>
      </c>
      <c r="E49" s="12">
        <f ca="1">IFERROR(__xludf.DUMMYFUNCTION("""COMPUTED_VALUE"""),46204)</f>
        <v>46204</v>
      </c>
      <c r="F49" s="10"/>
      <c r="G49" s="10" t="str">
        <f ca="1">IFERROR(__xludf.DUMMYFUNCTION("""COMPUTED_VALUE"""),"B2C")</f>
        <v>B2C</v>
      </c>
      <c r="H49" s="10" t="str">
        <f ca="1">IFERROR(__xludf.DUMMYFUNCTION("""COMPUTED_VALUE"""),"Jalaj Rawat")</f>
        <v>Jalaj Rawat</v>
      </c>
    </row>
    <row r="50" spans="1:8">
      <c r="A50" s="10">
        <f ca="1">IFERROR(__xludf.DUMMYFUNCTION("""COMPUTED_VALUE"""),49)</f>
        <v>49</v>
      </c>
      <c r="B50" s="10" t="str">
        <f ca="1">IFERROR(__xludf.DUMMYFUNCTION("""COMPUTED_VALUE"""),"Indore City")</f>
        <v>Indore City</v>
      </c>
      <c r="C50" s="10" t="str">
        <f ca="1">IFERROR(__xludf.DUMMYFUNCTION("""COMPUTED_VALUE"""),"Lebroid healthcare PVT LTD")</f>
        <v>Lebroid healthcare PVT LTD</v>
      </c>
      <c r="D50" s="10">
        <f ca="1">IFERROR(__xludf.DUMMYFUNCTION("""COMPUTED_VALUE"""),1950123528)</f>
        <v>1950123528</v>
      </c>
      <c r="E50" s="12">
        <f ca="1">IFERROR(__xludf.DUMMYFUNCTION("""COMPUTED_VALUE"""),46205)</f>
        <v>46205</v>
      </c>
      <c r="F50" s="10"/>
      <c r="G50" s="10" t="str">
        <f ca="1">IFERROR(__xludf.DUMMYFUNCTION("""COMPUTED_VALUE"""),"B2C")</f>
        <v>B2C</v>
      </c>
      <c r="H50" s="10" t="str">
        <f ca="1">IFERROR(__xludf.DUMMYFUNCTION("""COMPUTED_VALUE"""),"Jalaj Rawat")</f>
        <v>Jalaj Rawat</v>
      </c>
    </row>
    <row r="51" spans="1:8">
      <c r="A51" s="10">
        <f ca="1">IFERROR(__xludf.DUMMYFUNCTION("""COMPUTED_VALUE"""),50)</f>
        <v>50</v>
      </c>
      <c r="B51" s="10" t="str">
        <f ca="1">IFERROR(__xludf.DUMMYFUNCTION("""COMPUTED_VALUE"""),"Indore City")</f>
        <v>Indore City</v>
      </c>
      <c r="C51" s="10" t="str">
        <f ca="1">IFERROR(__xludf.DUMMYFUNCTION("""COMPUTED_VALUE"""),"ALPHA ACADEMY")</f>
        <v>ALPHA ACADEMY</v>
      </c>
      <c r="D51" s="10">
        <f ca="1">IFERROR(__xludf.DUMMYFUNCTION("""COMPUTED_VALUE"""),1170830433)</f>
        <v>1170830433</v>
      </c>
      <c r="E51" s="12">
        <f ca="1">IFERROR(__xludf.DUMMYFUNCTION("""COMPUTED_VALUE"""),46209)</f>
        <v>46209</v>
      </c>
      <c r="F51" s="10"/>
      <c r="G51" s="10" t="str">
        <f ca="1">IFERROR(__xludf.DUMMYFUNCTION("""COMPUTED_VALUE"""),"B2C")</f>
        <v>B2C</v>
      </c>
      <c r="H51" s="10" t="str">
        <f ca="1">IFERROR(__xludf.DUMMYFUNCTION("""COMPUTED_VALUE"""),"Rahul Panchal")</f>
        <v>Rahul Panchal</v>
      </c>
    </row>
    <row r="52" spans="1:8">
      <c r="A52" s="10">
        <f ca="1">IFERROR(__xludf.DUMMYFUNCTION("""COMPUTED_VALUE"""),51)</f>
        <v>51</v>
      </c>
      <c r="B52" s="10" t="str">
        <f ca="1">IFERROR(__xludf.DUMMYFUNCTION("""COMPUTED_VALUE"""),"Indore City")</f>
        <v>Indore City</v>
      </c>
      <c r="C52" s="10" t="str">
        <f ca="1">IFERROR(__xludf.DUMMYFUNCTION("""COMPUTED_VALUE"""),"AVIKA ENTERPRISES")</f>
        <v>AVIKA ENTERPRISES</v>
      </c>
      <c r="D52" s="10">
        <f ca="1">IFERROR(__xludf.DUMMYFUNCTION("""COMPUTED_VALUE"""),1193283934)</f>
        <v>1193283934</v>
      </c>
      <c r="E52" s="12">
        <f ca="1">IFERROR(__xludf.DUMMYFUNCTION("""COMPUTED_VALUE"""),46209)</f>
        <v>46209</v>
      </c>
      <c r="F52" s="10"/>
      <c r="G52" s="10" t="str">
        <f ca="1">IFERROR(__xludf.DUMMYFUNCTION("""COMPUTED_VALUE"""),"B2C")</f>
        <v>B2C</v>
      </c>
      <c r="H52" s="10" t="str">
        <f ca="1">IFERROR(__xludf.DUMMYFUNCTION("""COMPUTED_VALUE"""),"Rahul Panchal")</f>
        <v>Rahul Panchal</v>
      </c>
    </row>
    <row r="53" spans="1:8">
      <c r="A53" s="10">
        <f ca="1">IFERROR(__xludf.DUMMYFUNCTION("""COMPUTED_VALUE"""),52)</f>
        <v>52</v>
      </c>
      <c r="B53" s="10" t="str">
        <f ca="1">IFERROR(__xludf.DUMMYFUNCTION("""COMPUTED_VALUE"""),"Indore City")</f>
        <v>Indore City</v>
      </c>
      <c r="C53" s="10" t="str">
        <f ca="1">IFERROR(__xludf.DUMMYFUNCTION("""COMPUTED_VALUE"""),"KISAN4U MARKETING PVT LTD")</f>
        <v>KISAN4U MARKETING PVT LTD</v>
      </c>
      <c r="D53" s="10">
        <f ca="1">IFERROR(__xludf.DUMMYFUNCTION("""COMPUTED_VALUE"""),1929493007)</f>
        <v>1929493007</v>
      </c>
      <c r="E53" s="12">
        <f ca="1">IFERROR(__xludf.DUMMYFUNCTION("""COMPUTED_VALUE"""),46216)</f>
        <v>46216</v>
      </c>
      <c r="F53" s="10"/>
      <c r="G53" s="10" t="str">
        <f ca="1">IFERROR(__xludf.DUMMYFUNCTION("""COMPUTED_VALUE"""),"B2C")</f>
        <v>B2C</v>
      </c>
      <c r="H53" s="10" t="str">
        <f ca="1">IFERROR(__xludf.DUMMYFUNCTION("""COMPUTED_VALUE"""),"Jalaj Rawat")</f>
        <v>Jalaj Rawat</v>
      </c>
    </row>
    <row r="54" spans="1:8">
      <c r="A54" s="10">
        <f ca="1">IFERROR(__xludf.DUMMYFUNCTION("""COMPUTED_VALUE"""),53)</f>
        <v>53</v>
      </c>
      <c r="B54" s="10" t="str">
        <f ca="1">IFERROR(__xludf.DUMMYFUNCTION("""COMPUTED_VALUE"""),"Indore City")</f>
        <v>Indore City</v>
      </c>
      <c r="C54" s="10" t="str">
        <f ca="1">IFERROR(__xludf.DUMMYFUNCTION("""COMPUTED_VALUE"""),"MAARENUKA FOODS PVT LTD")</f>
        <v>MAARENUKA FOODS PVT LTD</v>
      </c>
      <c r="D54" s="10">
        <f ca="1">IFERROR(__xludf.DUMMYFUNCTION("""COMPUTED_VALUE"""),1000139830)</f>
        <v>1000139830</v>
      </c>
      <c r="E54" s="12">
        <f ca="1">IFERROR(__xludf.DUMMYFUNCTION("""COMPUTED_VALUE"""),46216)</f>
        <v>46216</v>
      </c>
      <c r="F54" s="10"/>
      <c r="G54" s="10" t="str">
        <f ca="1">IFERROR(__xludf.DUMMYFUNCTION("""COMPUTED_VALUE"""),"B2C")</f>
        <v>B2C</v>
      </c>
      <c r="H54" s="10" t="str">
        <f ca="1">IFERROR(__xludf.DUMMYFUNCTION("""COMPUTED_VALUE"""),"Rahul Panchal")</f>
        <v>Rahul Panchal</v>
      </c>
    </row>
    <row r="55" spans="1:8">
      <c r="A55" s="10">
        <f ca="1">IFERROR(__xludf.DUMMYFUNCTION("""COMPUTED_VALUE"""),54)</f>
        <v>54</v>
      </c>
      <c r="B55" s="10" t="str">
        <f ca="1">IFERROR(__xludf.DUMMYFUNCTION("""COMPUTED_VALUE"""),"Indore City")</f>
        <v>Indore City</v>
      </c>
      <c r="C55" s="10" t="str">
        <f ca="1">IFERROR(__xludf.DUMMYFUNCTION("""COMPUTED_VALUE"""),"SE CPWD INDORE")</f>
        <v>SE CPWD INDORE</v>
      </c>
      <c r="D55" s="10">
        <f ca="1">IFERROR(__xludf.DUMMYFUNCTION("""COMPUTED_VALUE"""),1363703562)</f>
        <v>1363703562</v>
      </c>
      <c r="E55" s="12">
        <f ca="1">IFERROR(__xludf.DUMMYFUNCTION("""COMPUTED_VALUE"""),46216)</f>
        <v>46216</v>
      </c>
      <c r="F55" s="10"/>
      <c r="G55" s="10" t="str">
        <f ca="1">IFERROR(__xludf.DUMMYFUNCTION("""COMPUTED_VALUE"""),"B2C")</f>
        <v>B2C</v>
      </c>
      <c r="H55" s="10" t="str">
        <f ca="1">IFERROR(__xludf.DUMMYFUNCTION("""COMPUTED_VALUE"""),"Zuber Ahmed Khan")</f>
        <v>Zuber Ahmed Khan</v>
      </c>
    </row>
    <row r="56" spans="1:8">
      <c r="A56" s="10">
        <f ca="1">IFERROR(__xludf.DUMMYFUNCTION("""COMPUTED_VALUE"""),55)</f>
        <v>55</v>
      </c>
      <c r="B56" s="10" t="str">
        <f ca="1">IFERROR(__xludf.DUMMYFUNCTION("""COMPUTED_VALUE"""),"Indore City")</f>
        <v>Indore City</v>
      </c>
      <c r="C56" s="10" t="str">
        <f ca="1">IFERROR(__xludf.DUMMYFUNCTION("""COMPUTED_VALUE"""),"ALMIGHTY ORGANICS PRIVATE LIMITED")</f>
        <v>ALMIGHTY ORGANICS PRIVATE LIMITED</v>
      </c>
      <c r="D56" s="10">
        <f ca="1">IFERROR(__xludf.DUMMYFUNCTION("""COMPUTED_VALUE"""),1735125629)</f>
        <v>1735125629</v>
      </c>
      <c r="E56" s="12">
        <f ca="1">IFERROR(__xludf.DUMMYFUNCTION("""COMPUTED_VALUE"""),46218)</f>
        <v>46218</v>
      </c>
      <c r="F56" s="10"/>
      <c r="G56" s="10" t="str">
        <f ca="1">IFERROR(__xludf.DUMMYFUNCTION("""COMPUTED_VALUE"""),"B2C")</f>
        <v>B2C</v>
      </c>
      <c r="H56" s="10" t="str">
        <f ca="1">IFERROR(__xludf.DUMMYFUNCTION("""COMPUTED_VALUE"""),"Zuber Ahmed Khan")</f>
        <v>Zuber Ahmed Khan</v>
      </c>
    </row>
    <row r="57" spans="1:8">
      <c r="A57" s="10">
        <f ca="1">IFERROR(__xludf.DUMMYFUNCTION("""COMPUTED_VALUE"""),56)</f>
        <v>56</v>
      </c>
      <c r="B57" s="10" t="str">
        <f ca="1">IFERROR(__xludf.DUMMYFUNCTION("""COMPUTED_VALUE"""),"Indore City")</f>
        <v>Indore City</v>
      </c>
      <c r="C57" s="10" t="str">
        <f ca="1">IFERROR(__xludf.DUMMYFUNCTION("""COMPUTED_VALUE"""),"DITVI EXPORTS PVT LTD")</f>
        <v>DITVI EXPORTS PVT LTD</v>
      </c>
      <c r="D57" s="10">
        <f ca="1">IFERROR(__xludf.DUMMYFUNCTION("""COMPUTED_VALUE"""),1417168016)</f>
        <v>1417168016</v>
      </c>
      <c r="E57" s="12">
        <f ca="1">IFERROR(__xludf.DUMMYFUNCTION("""COMPUTED_VALUE"""),46218)</f>
        <v>46218</v>
      </c>
      <c r="F57" s="10"/>
      <c r="G57" s="10" t="str">
        <f ca="1">IFERROR(__xludf.DUMMYFUNCTION("""COMPUTED_VALUE"""),"B2C")</f>
        <v>B2C</v>
      </c>
      <c r="H57" s="10" t="str">
        <f ca="1">IFERROR(__xludf.DUMMYFUNCTION("""COMPUTED_VALUE"""),"Jalaj Rawat")</f>
        <v>Jalaj Rawat</v>
      </c>
    </row>
    <row r="58" spans="1:8">
      <c r="A58" s="10">
        <f ca="1">IFERROR(__xludf.DUMMYFUNCTION("""COMPUTED_VALUE"""),57)</f>
        <v>57</v>
      </c>
      <c r="B58" s="10" t="str">
        <f ca="1">IFERROR(__xludf.DUMMYFUNCTION("""COMPUTED_VALUE"""),"Indore City")</f>
        <v>Indore City</v>
      </c>
      <c r="C58" s="10" t="str">
        <f ca="1">IFERROR(__xludf.DUMMYFUNCTION("""COMPUTED_VALUE"""),"Madhur Courier Services")</f>
        <v>Madhur Courier Services</v>
      </c>
      <c r="D58" s="10">
        <f ca="1">IFERROR(__xludf.DUMMYFUNCTION("""COMPUTED_VALUE"""),1952816963)</f>
        <v>1952816963</v>
      </c>
      <c r="E58" s="12">
        <f ca="1">IFERROR(__xludf.DUMMYFUNCTION("""COMPUTED_VALUE"""),46218)</f>
        <v>46218</v>
      </c>
      <c r="F58" s="10"/>
      <c r="G58" s="10" t="str">
        <f ca="1">IFERROR(__xludf.DUMMYFUNCTION("""COMPUTED_VALUE"""),"B2B")</f>
        <v>B2B</v>
      </c>
      <c r="H58" s="10" t="str">
        <f ca="1">IFERROR(__xludf.DUMMYFUNCTION("""COMPUTED_VALUE"""),"Jalaj Rawat")</f>
        <v>Jalaj Rawat</v>
      </c>
    </row>
    <row r="59" spans="1:8">
      <c r="A59" s="10">
        <f ca="1">IFERROR(__xludf.DUMMYFUNCTION("""COMPUTED_VALUE"""),58)</f>
        <v>58</v>
      </c>
      <c r="B59" s="10" t="str">
        <f ca="1">IFERROR(__xludf.DUMMYFUNCTION("""COMPUTED_VALUE"""),"Indore City")</f>
        <v>Indore City</v>
      </c>
      <c r="C59" s="10" t="str">
        <f ca="1">IFERROR(__xludf.DUMMYFUNCTION("""COMPUTED_VALUE"""),"RIAA MEHENDI")</f>
        <v>RIAA MEHENDI</v>
      </c>
      <c r="D59" s="10">
        <f ca="1">IFERROR(__xludf.DUMMYFUNCTION("""COMPUTED_VALUE"""),1100842696)</f>
        <v>1100842696</v>
      </c>
      <c r="E59" s="12">
        <f ca="1">IFERROR(__xludf.DUMMYFUNCTION("""COMPUTED_VALUE"""),46226)</f>
        <v>46226</v>
      </c>
      <c r="F59" s="10"/>
      <c r="G59" s="10" t="str">
        <f ca="1">IFERROR(__xludf.DUMMYFUNCTION("""COMPUTED_VALUE"""),"B2C")</f>
        <v>B2C</v>
      </c>
      <c r="H59" s="10" t="str">
        <f ca="1">IFERROR(__xludf.DUMMYFUNCTION("""COMPUTED_VALUE"""),"Rahul Panchal")</f>
        <v>Rahul Panchal</v>
      </c>
    </row>
    <row r="60" spans="1:8">
      <c r="A60" s="10">
        <f ca="1">IFERROR(__xludf.DUMMYFUNCTION("""COMPUTED_VALUE"""),59)</f>
        <v>59</v>
      </c>
      <c r="B60" s="10" t="str">
        <f ca="1">IFERROR(__xludf.DUMMYFUNCTION("""COMPUTED_VALUE"""),"Indore City")</f>
        <v>Indore City</v>
      </c>
      <c r="C60" s="10" t="str">
        <f ca="1">IFERROR(__xludf.DUMMYFUNCTION("""COMPUTED_VALUE"""),"SAWARNA BY HEER")</f>
        <v>SAWARNA BY HEER</v>
      </c>
      <c r="D60" s="10">
        <f ca="1">IFERROR(__xludf.DUMMYFUNCTION("""COMPUTED_VALUE"""),1503880606)</f>
        <v>1503880606</v>
      </c>
      <c r="E60" s="12">
        <f ca="1">IFERROR(__xludf.DUMMYFUNCTION("""COMPUTED_VALUE"""),46226)</f>
        <v>46226</v>
      </c>
      <c r="F60" s="10"/>
      <c r="G60" s="10" t="str">
        <f ca="1">IFERROR(__xludf.DUMMYFUNCTION("""COMPUTED_VALUE"""),"B2C")</f>
        <v>B2C</v>
      </c>
      <c r="H60" s="10" t="str">
        <f ca="1">IFERROR(__xludf.DUMMYFUNCTION("""COMPUTED_VALUE"""),"Rahul Panchal")</f>
        <v>Rahul Panchal</v>
      </c>
    </row>
    <row r="61" spans="1:8">
      <c r="A61" s="10">
        <f ca="1">IFERROR(__xludf.DUMMYFUNCTION("""COMPUTED_VALUE"""),60)</f>
        <v>60</v>
      </c>
      <c r="B61" s="10" t="str">
        <f ca="1">IFERROR(__xludf.DUMMYFUNCTION("""COMPUTED_VALUE"""),"Indore City")</f>
        <v>Indore City</v>
      </c>
      <c r="C61" s="10" t="str">
        <f ca="1">IFERROR(__xludf.DUMMYFUNCTION("""COMPUTED_VALUE"""),"THE VAIDIK")</f>
        <v>THE VAIDIK</v>
      </c>
      <c r="D61" s="10">
        <f ca="1">IFERROR(__xludf.DUMMYFUNCTION("""COMPUTED_VALUE"""),1127334021)</f>
        <v>1127334021</v>
      </c>
      <c r="E61" s="12">
        <f ca="1">IFERROR(__xludf.DUMMYFUNCTION("""COMPUTED_VALUE"""),46226)</f>
        <v>46226</v>
      </c>
      <c r="F61" s="10"/>
      <c r="G61" s="10" t="str">
        <f ca="1">IFERROR(__xludf.DUMMYFUNCTION("""COMPUTED_VALUE"""),"B2C")</f>
        <v>B2C</v>
      </c>
      <c r="H61" s="10" t="str">
        <f ca="1">IFERROR(__xludf.DUMMYFUNCTION("""COMPUTED_VALUE"""),"Jalaj Rawat")</f>
        <v>Jalaj Rawat</v>
      </c>
    </row>
    <row r="62" spans="1:8">
      <c r="A62" s="10">
        <f ca="1">IFERROR(__xludf.DUMMYFUNCTION("""COMPUTED_VALUE"""),61)</f>
        <v>61</v>
      </c>
      <c r="B62" s="10" t="str">
        <f ca="1">IFERROR(__xludf.DUMMYFUNCTION("""COMPUTED_VALUE"""),"Indore City")</f>
        <v>Indore City</v>
      </c>
      <c r="C62" s="10" t="str">
        <f ca="1">IFERROR(__xludf.DUMMYFUNCTION("""COMPUTED_VALUE"""),"DYNAMECH ENGINEERS")</f>
        <v>DYNAMECH ENGINEERS</v>
      </c>
      <c r="D62" s="10">
        <f ca="1">IFERROR(__xludf.DUMMYFUNCTION("""COMPUTED_VALUE"""),1713538732)</f>
        <v>1713538732</v>
      </c>
      <c r="E62" s="12">
        <f ca="1">IFERROR(__xludf.DUMMYFUNCTION("""COMPUTED_VALUE"""),46232)</f>
        <v>46232</v>
      </c>
      <c r="F62" s="10"/>
      <c r="G62" s="10" t="str">
        <f ca="1">IFERROR(__xludf.DUMMYFUNCTION("""COMPUTED_VALUE"""),"B2C")</f>
        <v>B2C</v>
      </c>
      <c r="H62" s="10" t="str">
        <f ca="1">IFERROR(__xludf.DUMMYFUNCTION("""COMPUTED_VALUE"""),"Jalaj Rawat")</f>
        <v>Jalaj Rawat</v>
      </c>
    </row>
    <row r="63" spans="1:8">
      <c r="A63" s="10">
        <f ca="1">IFERROR(__xludf.DUMMYFUNCTION("""COMPUTED_VALUE"""),62)</f>
        <v>62</v>
      </c>
      <c r="B63" s="10" t="str">
        <f ca="1">IFERROR(__xludf.DUMMYFUNCTION("""COMPUTED_VALUE"""),"Indore City")</f>
        <v>Indore City</v>
      </c>
      <c r="C63" s="10" t="str">
        <f ca="1">IFERROR(__xludf.DUMMYFUNCTION("""COMPUTED_VALUE"""),"HANSHIKA CORPORATION")</f>
        <v>HANSHIKA CORPORATION</v>
      </c>
      <c r="D63" s="10">
        <f ca="1">IFERROR(__xludf.DUMMYFUNCTION("""COMPUTED_VALUE"""),1581886034)</f>
        <v>1581886034</v>
      </c>
      <c r="E63" s="12">
        <f ca="1">IFERROR(__xludf.DUMMYFUNCTION("""COMPUTED_VALUE"""),46232)</f>
        <v>46232</v>
      </c>
      <c r="F63" s="10"/>
      <c r="G63" s="10" t="str">
        <f ca="1">IFERROR(__xludf.DUMMYFUNCTION("""COMPUTED_VALUE"""),"B2C")</f>
        <v>B2C</v>
      </c>
      <c r="H63" s="10" t="str">
        <f ca="1">IFERROR(__xludf.DUMMYFUNCTION("""COMPUTED_VALUE"""),"Jalaj Rawat")</f>
        <v>Jalaj Rawat</v>
      </c>
    </row>
    <row r="64" spans="1:8">
      <c r="A64" s="10">
        <f ca="1">IFERROR(__xludf.DUMMYFUNCTION("""COMPUTED_VALUE"""),63)</f>
        <v>63</v>
      </c>
      <c r="B64" s="10" t="str">
        <f ca="1">IFERROR(__xludf.DUMMYFUNCTION("""COMPUTED_VALUE"""),"Indore City")</f>
        <v>Indore City</v>
      </c>
      <c r="C64" s="10" t="str">
        <f ca="1">IFERROR(__xludf.DUMMYFUNCTION("""COMPUTED_VALUE"""),"HPCL LPG RO INDORE")</f>
        <v>HPCL LPG RO INDORE</v>
      </c>
      <c r="D64" s="10">
        <f ca="1">IFERROR(__xludf.DUMMYFUNCTION("""COMPUTED_VALUE"""),1261051215)</f>
        <v>1261051215</v>
      </c>
      <c r="E64" s="12">
        <f ca="1">IFERROR(__xludf.DUMMYFUNCTION("""COMPUTED_VALUE"""),46232)</f>
        <v>46232</v>
      </c>
      <c r="F64" s="10"/>
      <c r="G64" s="10" t="str">
        <f ca="1">IFERROR(__xludf.DUMMYFUNCTION("""COMPUTED_VALUE"""),"B2C")</f>
        <v>B2C</v>
      </c>
      <c r="H64" s="10" t="str">
        <f ca="1">IFERROR(__xludf.DUMMYFUNCTION("""COMPUTED_VALUE"""),"Jalaj Rawat")</f>
        <v>Jalaj Rawat</v>
      </c>
    </row>
    <row r="65" spans="1:8">
      <c r="A65" s="10">
        <f ca="1">IFERROR(__xludf.DUMMYFUNCTION("""COMPUTED_VALUE"""),64)</f>
        <v>64</v>
      </c>
      <c r="B65" s="10" t="str">
        <f ca="1">IFERROR(__xludf.DUMMYFUNCTION("""COMPUTED_VALUE"""),"Indore City")</f>
        <v>Indore City</v>
      </c>
      <c r="C65" s="10" t="str">
        <f ca="1">IFERROR(__xludf.DUMMYFUNCTION("""COMPUTED_VALUE"""),"NIACL INDORE LBO")</f>
        <v>NIACL INDORE LBO</v>
      </c>
      <c r="D65" s="10">
        <f ca="1">IFERROR(__xludf.DUMMYFUNCTION("""COMPUTED_VALUE"""),1881278509)</f>
        <v>1881278509</v>
      </c>
      <c r="E65" s="12">
        <f ca="1">IFERROR(__xludf.DUMMYFUNCTION("""COMPUTED_VALUE"""),46232)</f>
        <v>46232</v>
      </c>
      <c r="F65" s="10"/>
      <c r="G65" s="10" t="str">
        <f ca="1">IFERROR(__xludf.DUMMYFUNCTION("""COMPUTED_VALUE"""),"B2C")</f>
        <v>B2C</v>
      </c>
      <c r="H65" s="10" t="str">
        <f ca="1">IFERROR(__xludf.DUMMYFUNCTION("""COMPUTED_VALUE"""),"Jalaj Rawat")</f>
        <v>Jalaj Rawat</v>
      </c>
    </row>
    <row r="66" spans="1:8">
      <c r="A66" s="10">
        <f ca="1">IFERROR(__xludf.DUMMYFUNCTION("""COMPUTED_VALUE"""),65)</f>
        <v>65</v>
      </c>
      <c r="B66" s="10" t="str">
        <f ca="1">IFERROR(__xludf.DUMMYFUNCTION("""COMPUTED_VALUE"""),"Indore City")</f>
        <v>Indore City</v>
      </c>
      <c r="C66" s="10" t="str">
        <f ca="1">IFERROR(__xludf.DUMMYFUNCTION("""COMPUTED_VALUE"""),"PRINCESS SHOPEE")</f>
        <v>PRINCESS SHOPEE</v>
      </c>
      <c r="D66" s="10">
        <f ca="1">IFERROR(__xludf.DUMMYFUNCTION("""COMPUTED_VALUE"""),1699237877)</f>
        <v>1699237877</v>
      </c>
      <c r="E66" s="12">
        <f ca="1">IFERROR(__xludf.DUMMYFUNCTION("""COMPUTED_VALUE"""),46232)</f>
        <v>46232</v>
      </c>
      <c r="F66" s="10"/>
      <c r="G66" s="10" t="str">
        <f ca="1">IFERROR(__xludf.DUMMYFUNCTION("""COMPUTED_VALUE"""),"B2C")</f>
        <v>B2C</v>
      </c>
      <c r="H66" s="10" t="str">
        <f ca="1">IFERROR(__xludf.DUMMYFUNCTION("""COMPUTED_VALUE"""),"Jalaj Rawat")</f>
        <v>Jalaj Rawat</v>
      </c>
    </row>
    <row r="67" spans="1:8">
      <c r="A67" s="10">
        <f ca="1">IFERROR(__xludf.DUMMYFUNCTION("""COMPUTED_VALUE"""),66)</f>
        <v>66</v>
      </c>
      <c r="B67" s="10" t="str">
        <f ca="1">IFERROR(__xludf.DUMMYFUNCTION("""COMPUTED_VALUE"""),"Indore City")</f>
        <v>Indore City</v>
      </c>
      <c r="C67" s="10" t="str">
        <f ca="1">IFERROR(__xludf.DUMMYFUNCTION("""COMPUTED_VALUE"""),"rajratan industries private limited")</f>
        <v>rajratan industries private limited</v>
      </c>
      <c r="D67" s="10">
        <f ca="1">IFERROR(__xludf.DUMMYFUNCTION("""COMPUTED_VALUE"""),1223677972)</f>
        <v>1223677972</v>
      </c>
      <c r="E67" s="12">
        <f ca="1">IFERROR(__xludf.DUMMYFUNCTION("""COMPUTED_VALUE"""),46232)</f>
        <v>46232</v>
      </c>
      <c r="F67" s="10"/>
      <c r="G67" s="10" t="str">
        <f ca="1">IFERROR(__xludf.DUMMYFUNCTION("""COMPUTED_VALUE"""),"B2C")</f>
        <v>B2C</v>
      </c>
      <c r="H67" s="10" t="str">
        <f ca="1">IFERROR(__xludf.DUMMYFUNCTION("""COMPUTED_VALUE"""),"Zuber Ahmed Khan")</f>
        <v>Zuber Ahmed Khan</v>
      </c>
    </row>
    <row r="68" spans="1:8">
      <c r="A68" s="10">
        <f ca="1">IFERROR(__xludf.DUMMYFUNCTION("""COMPUTED_VALUE"""),67)</f>
        <v>67</v>
      </c>
      <c r="B68" s="10" t="str">
        <f ca="1">IFERROR(__xludf.DUMMYFUNCTION("""COMPUTED_VALUE"""),"Indore City")</f>
        <v>Indore City</v>
      </c>
      <c r="C68" s="10" t="str">
        <f ca="1">IFERROR(__xludf.DUMMYFUNCTION("""COMPUTED_VALUE"""),"THE CRAFT SHELF")</f>
        <v>THE CRAFT SHELF</v>
      </c>
      <c r="D68" s="10">
        <f ca="1">IFERROR(__xludf.DUMMYFUNCTION("""COMPUTED_VALUE"""),1997809878)</f>
        <v>1997809878</v>
      </c>
      <c r="E68" s="12">
        <f ca="1">IFERROR(__xludf.DUMMYFUNCTION("""COMPUTED_VALUE"""),46232)</f>
        <v>46232</v>
      </c>
      <c r="F68" s="10"/>
      <c r="G68" s="10" t="str">
        <f ca="1">IFERROR(__xludf.DUMMYFUNCTION("""COMPUTED_VALUE"""),"B2C")</f>
        <v>B2C</v>
      </c>
      <c r="H68" s="10" t="str">
        <f ca="1">IFERROR(__xludf.DUMMYFUNCTION("""COMPUTED_VALUE"""),"Zuber Ahmed Khan")</f>
        <v>Zuber Ahmed Khan</v>
      </c>
    </row>
    <row r="69" spans="1:8">
      <c r="A69" s="10">
        <f ca="1">IFERROR(__xludf.DUMMYFUNCTION("""COMPUTED_VALUE"""),68)</f>
        <v>68</v>
      </c>
      <c r="B69" s="10" t="str">
        <f ca="1">IFERROR(__xludf.DUMMYFUNCTION("""COMPUTED_VALUE"""),"Indore City")</f>
        <v>Indore City</v>
      </c>
      <c r="C69" s="10" t="str">
        <f ca="1">IFERROR(__xludf.DUMMYFUNCTION("""COMPUTED_VALUE"""),"3A SERVICES")</f>
        <v>3A SERVICES</v>
      </c>
      <c r="D69" s="10">
        <f ca="1">IFERROR(__xludf.DUMMYFUNCTION("""COMPUTED_VALUE"""),1473198944)</f>
        <v>1473198944</v>
      </c>
      <c r="E69" s="12">
        <f ca="1">IFERROR(__xludf.DUMMYFUNCTION("""COMPUTED_VALUE"""),46233)</f>
        <v>46233</v>
      </c>
      <c r="F69" s="10"/>
      <c r="G69" s="10" t="str">
        <f ca="1">IFERROR(__xludf.DUMMYFUNCTION("""COMPUTED_VALUE"""),"B2C")</f>
        <v>B2C</v>
      </c>
      <c r="H69" s="10" t="str">
        <f ca="1">IFERROR(__xludf.DUMMYFUNCTION("""COMPUTED_VALUE"""),"Rahul Panchal")</f>
        <v>Rahul Panchal</v>
      </c>
    </row>
    <row r="70" spans="1:8">
      <c r="A70" s="10">
        <f ca="1">IFERROR(__xludf.DUMMYFUNCTION("""COMPUTED_VALUE"""),69)</f>
        <v>69</v>
      </c>
      <c r="B70" s="10" t="str">
        <f ca="1">IFERROR(__xludf.DUMMYFUNCTION("""COMPUTED_VALUE"""),"Indore City")</f>
        <v>Indore City</v>
      </c>
      <c r="C70" s="10" t="str">
        <f ca="1">IFERROR(__xludf.DUMMYFUNCTION("""COMPUTED_VALUE"""),"SBI BANK AMCC BRANCH GPO CAMPUS")</f>
        <v>SBI BANK AMCC BRANCH GPO CAMPUS</v>
      </c>
      <c r="D70" s="10">
        <f ca="1">IFERROR(__xludf.DUMMYFUNCTION("""COMPUTED_VALUE"""),1214563388)</f>
        <v>1214563388</v>
      </c>
      <c r="E70" s="12">
        <f ca="1">IFERROR(__xludf.DUMMYFUNCTION("""COMPUTED_VALUE"""),46233)</f>
        <v>46233</v>
      </c>
      <c r="F70" s="10"/>
      <c r="G70" s="10" t="str">
        <f ca="1">IFERROR(__xludf.DUMMYFUNCTION("""COMPUTED_VALUE"""),"B2C")</f>
        <v>B2C</v>
      </c>
      <c r="H70" s="10" t="str">
        <f ca="1">IFERROR(__xludf.DUMMYFUNCTION("""COMPUTED_VALUE"""),"Zuber Ahmed Khan")</f>
        <v>Zuber Ahmed Khan</v>
      </c>
    </row>
    <row r="71" spans="1:8">
      <c r="A71" s="10">
        <f ca="1">IFERROR(__xludf.DUMMYFUNCTION("""COMPUTED_VALUE"""),70)</f>
        <v>70</v>
      </c>
      <c r="B71" s="10" t="str">
        <f ca="1">IFERROR(__xludf.DUMMYFUNCTION("""COMPUTED_VALUE"""),"Indore City")</f>
        <v>Indore City</v>
      </c>
      <c r="C71" s="10" t="str">
        <f ca="1">IFERROR(__xludf.DUMMYFUNCTION("""COMPUTED_VALUE"""),"G S MARKETING")</f>
        <v>G S MARKETING</v>
      </c>
      <c r="D71" s="10">
        <f ca="1">IFERROR(__xludf.DUMMYFUNCTION("""COMPUTED_VALUE"""),1375646231)</f>
        <v>1375646231</v>
      </c>
      <c r="E71" s="12">
        <f ca="1">IFERROR(__xludf.DUMMYFUNCTION("""COMPUTED_VALUE"""),46238)</f>
        <v>46238</v>
      </c>
      <c r="F71" s="10"/>
      <c r="G71" s="10" t="str">
        <f ca="1">IFERROR(__xludf.DUMMYFUNCTION("""COMPUTED_VALUE"""),"B2C")</f>
        <v>B2C</v>
      </c>
      <c r="H71" s="10" t="str">
        <f ca="1">IFERROR(__xludf.DUMMYFUNCTION("""COMPUTED_VALUE"""),"Zuber Ahmed Khan")</f>
        <v>Zuber Ahmed Khan</v>
      </c>
    </row>
    <row r="72" spans="1:8">
      <c r="A72" s="10">
        <f ca="1">IFERROR(__xludf.DUMMYFUNCTION("""COMPUTED_VALUE"""),71)</f>
        <v>71</v>
      </c>
      <c r="B72" s="10" t="str">
        <f ca="1">IFERROR(__xludf.DUMMYFUNCTION("""COMPUTED_VALUE"""),"Indore City")</f>
        <v>Indore City</v>
      </c>
      <c r="C72" s="10" t="str">
        <f ca="1">IFERROR(__xludf.DUMMYFUNCTION("""COMPUTED_VALUE"""),"JANA SMALL FINANCE BANK LIMITED")</f>
        <v>JANA SMALL FINANCE BANK LIMITED</v>
      </c>
      <c r="D72" s="10">
        <f ca="1">IFERROR(__xludf.DUMMYFUNCTION("""COMPUTED_VALUE"""),1123451318)</f>
        <v>1123451318</v>
      </c>
      <c r="E72" s="12">
        <f ca="1">IFERROR(__xludf.DUMMYFUNCTION("""COMPUTED_VALUE"""),46238)</f>
        <v>46238</v>
      </c>
      <c r="F72" s="10"/>
      <c r="G72" s="10" t="str">
        <f ca="1">IFERROR(__xludf.DUMMYFUNCTION("""COMPUTED_VALUE"""),"B2C")</f>
        <v>B2C</v>
      </c>
      <c r="H72" s="10" t="str">
        <f ca="1">IFERROR(__xludf.DUMMYFUNCTION("""COMPUTED_VALUE"""),"Rahul Panchal")</f>
        <v>Rahul Panchal</v>
      </c>
    </row>
    <row r="73" spans="1:8">
      <c r="A73" s="10">
        <f ca="1">IFERROR(__xludf.DUMMYFUNCTION("""COMPUTED_VALUE"""),72)</f>
        <v>72</v>
      </c>
      <c r="B73" s="10" t="str">
        <f ca="1">IFERROR(__xludf.DUMMYFUNCTION("""COMPUTED_VALUE"""),"Indore City")</f>
        <v>Indore City</v>
      </c>
      <c r="C73" s="10" t="str">
        <f ca="1">IFERROR(__xludf.DUMMYFUNCTION("""COMPUTED_VALUE"""),"sixth sense marketing pvt.ltd")</f>
        <v>sixth sense marketing pvt.ltd</v>
      </c>
      <c r="D73" s="10">
        <f ca="1">IFERROR(__xludf.DUMMYFUNCTION("""COMPUTED_VALUE"""),1352121329)</f>
        <v>1352121329</v>
      </c>
      <c r="E73" s="12">
        <f ca="1">IFERROR(__xludf.DUMMYFUNCTION("""COMPUTED_VALUE"""),46238)</f>
        <v>46238</v>
      </c>
      <c r="F73" s="10"/>
      <c r="G73" s="10" t="str">
        <f ca="1">IFERROR(__xludf.DUMMYFUNCTION("""COMPUTED_VALUE"""),"B2C")</f>
        <v>B2C</v>
      </c>
      <c r="H73" s="10" t="str">
        <f ca="1">IFERROR(__xludf.DUMMYFUNCTION("""COMPUTED_VALUE"""),"Zuber Ahmed Khan")</f>
        <v>Zuber Ahmed Khan</v>
      </c>
    </row>
    <row r="74" spans="1:8">
      <c r="A74" s="10">
        <f ca="1">IFERROR(__xludf.DUMMYFUNCTION("""COMPUTED_VALUE"""),73)</f>
        <v>73</v>
      </c>
      <c r="B74" s="10" t="str">
        <f ca="1">IFERROR(__xludf.DUMMYFUNCTION("""COMPUTED_VALUE"""),"Indore City")</f>
        <v>Indore City</v>
      </c>
      <c r="C74" s="10" t="str">
        <f ca="1">IFERROR(__xludf.DUMMYFUNCTION("""COMPUTED_VALUE"""),"AYODHYA PRAKASH AYURVEDA")</f>
        <v>AYODHYA PRAKASH AYURVEDA</v>
      </c>
      <c r="D74" s="10">
        <f ca="1">IFERROR(__xludf.DUMMYFUNCTION("""COMPUTED_VALUE"""),3000069615)</f>
        <v>3000069615</v>
      </c>
      <c r="E74" s="12">
        <f ca="1">IFERROR(__xludf.DUMMYFUNCTION("""COMPUTED_VALUE"""),46239)</f>
        <v>46239</v>
      </c>
      <c r="F74" s="10"/>
      <c r="G74" s="10" t="str">
        <f ca="1">IFERROR(__xludf.DUMMYFUNCTION("""COMPUTED_VALUE"""),"B2C")</f>
        <v>B2C</v>
      </c>
      <c r="H74" s="10" t="str">
        <f ca="1">IFERROR(__xludf.DUMMYFUNCTION("""COMPUTED_VALUE"""),"Jalaj Rawat")</f>
        <v>Jalaj Rawat</v>
      </c>
    </row>
    <row r="75" spans="1:8">
      <c r="A75" s="10">
        <f ca="1">IFERROR(__xludf.DUMMYFUNCTION("""COMPUTED_VALUE"""),74)</f>
        <v>74</v>
      </c>
      <c r="B75" s="10" t="str">
        <f ca="1">IFERROR(__xludf.DUMMYFUNCTION("""COMPUTED_VALUE"""),"Indore City")</f>
        <v>Indore City</v>
      </c>
      <c r="C75" s="10" t="str">
        <f ca="1">IFERROR(__xludf.DUMMYFUNCTION("""COMPUTED_VALUE"""),"DWIVEDI ENTERPRISES")</f>
        <v>DWIVEDI ENTERPRISES</v>
      </c>
      <c r="D75" s="10">
        <f ca="1">IFERROR(__xludf.DUMMYFUNCTION("""COMPUTED_VALUE"""),1136441715)</f>
        <v>1136441715</v>
      </c>
      <c r="E75" s="12">
        <f ca="1">IFERROR(__xludf.DUMMYFUNCTION("""COMPUTED_VALUE"""),46239)</f>
        <v>46239</v>
      </c>
      <c r="F75" s="10"/>
      <c r="G75" s="10" t="str">
        <f ca="1">IFERROR(__xludf.DUMMYFUNCTION("""COMPUTED_VALUE"""),"B2C")</f>
        <v>B2C</v>
      </c>
      <c r="H75" s="10" t="str">
        <f ca="1">IFERROR(__xludf.DUMMYFUNCTION("""COMPUTED_VALUE"""),"Jalaj Rawat")</f>
        <v>Jalaj Rawat</v>
      </c>
    </row>
    <row r="76" spans="1:8">
      <c r="A76" s="10">
        <f ca="1">IFERROR(__xludf.DUMMYFUNCTION("""COMPUTED_VALUE"""),75)</f>
        <v>75</v>
      </c>
      <c r="B76" s="10" t="str">
        <f ca="1">IFERROR(__xludf.DUMMYFUNCTION("""COMPUTED_VALUE"""),"Indore City")</f>
        <v>Indore City</v>
      </c>
      <c r="C76" s="10" t="str">
        <f ca="1">IFERROR(__xludf.DUMMYFUNCTION("""COMPUTED_VALUE"""),"IMPULSE AYURVEDA CARE")</f>
        <v>IMPULSE AYURVEDA CARE</v>
      </c>
      <c r="D76" s="10">
        <f ca="1">IFERROR(__xludf.DUMMYFUNCTION("""COMPUTED_VALUE"""),1659043732)</f>
        <v>1659043732</v>
      </c>
      <c r="E76" s="12">
        <f ca="1">IFERROR(__xludf.DUMMYFUNCTION("""COMPUTED_VALUE"""),46239)</f>
        <v>46239</v>
      </c>
      <c r="F76" s="10"/>
      <c r="G76" s="10" t="str">
        <f ca="1">IFERROR(__xludf.DUMMYFUNCTION("""COMPUTED_VALUE"""),"B2C")</f>
        <v>B2C</v>
      </c>
      <c r="H76" s="10" t="str">
        <f ca="1">IFERROR(__xludf.DUMMYFUNCTION("""COMPUTED_VALUE"""),"Jalaj Rawat")</f>
        <v>Jalaj Rawat</v>
      </c>
    </row>
    <row r="77" spans="1:8">
      <c r="A77" s="10">
        <f ca="1">IFERROR(__xludf.DUMMYFUNCTION("""COMPUTED_VALUE"""),76)</f>
        <v>76</v>
      </c>
      <c r="B77" s="10" t="str">
        <f ca="1">IFERROR(__xludf.DUMMYFUNCTION("""COMPUTED_VALUE"""),"Indore City")</f>
        <v>Indore City</v>
      </c>
      <c r="C77" s="10" t="str">
        <f ca="1">IFERROR(__xludf.DUMMYFUNCTION("""COMPUTED_VALUE"""),"krishi darshan and company")</f>
        <v>krishi darshan and company</v>
      </c>
      <c r="D77" s="10">
        <f ca="1">IFERROR(__xludf.DUMMYFUNCTION("""COMPUTED_VALUE"""),1961828217)</f>
        <v>1961828217</v>
      </c>
      <c r="E77" s="12">
        <f ca="1">IFERROR(__xludf.DUMMYFUNCTION("""COMPUTED_VALUE"""),46239)</f>
        <v>46239</v>
      </c>
      <c r="F77" s="10"/>
      <c r="G77" s="10" t="str">
        <f ca="1">IFERROR(__xludf.DUMMYFUNCTION("""COMPUTED_VALUE"""),"B2C")</f>
        <v>B2C</v>
      </c>
      <c r="H77" s="10" t="str">
        <f ca="1">IFERROR(__xludf.DUMMYFUNCTION("""COMPUTED_VALUE"""),"Zuber Ahmed Khan")</f>
        <v>Zuber Ahmed Khan</v>
      </c>
    </row>
    <row r="78" spans="1:8">
      <c r="A78" s="10">
        <f ca="1">IFERROR(__xludf.DUMMYFUNCTION("""COMPUTED_VALUE"""),77)</f>
        <v>77</v>
      </c>
      <c r="B78" s="10" t="str">
        <f ca="1">IFERROR(__xludf.DUMMYFUNCTION("""COMPUTED_VALUE"""),"Indore City")</f>
        <v>Indore City</v>
      </c>
      <c r="C78" s="10" t="str">
        <f ca="1">IFERROR(__xludf.DUMMYFUNCTION("""COMPUTED_VALUE"""),"MAA FALAUDI DISTRIBUTERS")</f>
        <v>MAA FALAUDI DISTRIBUTERS</v>
      </c>
      <c r="D78" s="10">
        <f ca="1">IFERROR(__xludf.DUMMYFUNCTION("""COMPUTED_VALUE"""),3000066866)</f>
        <v>3000066866</v>
      </c>
      <c r="E78" s="12">
        <f ca="1">IFERROR(__xludf.DUMMYFUNCTION("""COMPUTED_VALUE"""),46239)</f>
        <v>46239</v>
      </c>
      <c r="F78" s="10"/>
      <c r="G78" s="10" t="str">
        <f ca="1">IFERROR(__xludf.DUMMYFUNCTION("""COMPUTED_VALUE"""),"B2C")</f>
        <v>B2C</v>
      </c>
      <c r="H78" s="10" t="str">
        <f ca="1">IFERROR(__xludf.DUMMYFUNCTION("""COMPUTED_VALUE"""),"Jalaj Rawat")</f>
        <v>Jalaj Rawat</v>
      </c>
    </row>
    <row r="79" spans="1:8">
      <c r="A79" s="10">
        <f ca="1">IFERROR(__xludf.DUMMYFUNCTION("""COMPUTED_VALUE"""),78)</f>
        <v>78</v>
      </c>
      <c r="B79" s="10" t="str">
        <f ca="1">IFERROR(__xludf.DUMMYFUNCTION("""COMPUTED_VALUE"""),"Indore City")</f>
        <v>Indore City</v>
      </c>
      <c r="C79" s="10" t="str">
        <f ca="1">IFERROR(__xludf.DUMMYFUNCTION("""COMPUTED_VALUE"""),"MASTER MIND BOOK")</f>
        <v>MASTER MIND BOOK</v>
      </c>
      <c r="D79" s="10">
        <f ca="1">IFERROR(__xludf.DUMMYFUNCTION("""COMPUTED_VALUE"""),1190143405)</f>
        <v>1190143405</v>
      </c>
      <c r="E79" s="12">
        <f ca="1">IFERROR(__xludf.DUMMYFUNCTION("""COMPUTED_VALUE"""),46239)</f>
        <v>46239</v>
      </c>
      <c r="F79" s="10"/>
      <c r="G79" s="10" t="str">
        <f ca="1">IFERROR(__xludf.DUMMYFUNCTION("""COMPUTED_VALUE"""),"B2C")</f>
        <v>B2C</v>
      </c>
      <c r="H79" s="10" t="str">
        <f ca="1">IFERROR(__xludf.DUMMYFUNCTION("""COMPUTED_VALUE"""),"Rahul Panchal")</f>
        <v>Rahul Panchal</v>
      </c>
    </row>
    <row r="80" spans="1:8">
      <c r="A80" s="10">
        <f ca="1">IFERROR(__xludf.DUMMYFUNCTION("""COMPUTED_VALUE"""),79)</f>
        <v>79</v>
      </c>
      <c r="B80" s="10" t="str">
        <f ca="1">IFERROR(__xludf.DUMMYFUNCTION("""COMPUTED_VALUE"""),"Indore City")</f>
        <v>Indore City</v>
      </c>
      <c r="C80" s="10" t="str">
        <f ca="1">IFERROR(__xludf.DUMMYFUNCTION("""COMPUTED_VALUE"""),"NARAYANA FOODS")</f>
        <v>NARAYANA FOODS</v>
      </c>
      <c r="D80" s="10">
        <f ca="1">IFERROR(__xludf.DUMMYFUNCTION("""COMPUTED_VALUE"""),1577251666)</f>
        <v>1577251666</v>
      </c>
      <c r="E80" s="12">
        <f ca="1">IFERROR(__xludf.DUMMYFUNCTION("""COMPUTED_VALUE"""),46239)</f>
        <v>46239</v>
      </c>
      <c r="F80" s="10"/>
      <c r="G80" s="10" t="str">
        <f ca="1">IFERROR(__xludf.DUMMYFUNCTION("""COMPUTED_VALUE"""),"B2C")</f>
        <v>B2C</v>
      </c>
      <c r="H80" s="10" t="str">
        <f ca="1">IFERROR(__xludf.DUMMYFUNCTION("""COMPUTED_VALUE"""),"Jalaj Rawat")</f>
        <v>Jalaj Rawat</v>
      </c>
    </row>
    <row r="81" spans="1:8">
      <c r="A81" s="10">
        <f ca="1">IFERROR(__xludf.DUMMYFUNCTION("""COMPUTED_VALUE"""),80)</f>
        <v>80</v>
      </c>
      <c r="B81" s="10" t="str">
        <f ca="1">IFERROR(__xludf.DUMMYFUNCTION("""COMPUTED_VALUE"""),"Indore City")</f>
        <v>Indore City</v>
      </c>
      <c r="C81" s="10" t="str">
        <f ca="1">IFERROR(__xludf.DUMMYFUNCTION("""COMPUTED_VALUE"""),"BALAJI EXPRESS SERVICE")</f>
        <v>BALAJI EXPRESS SERVICE</v>
      </c>
      <c r="D81" s="10">
        <f ca="1">IFERROR(__xludf.DUMMYFUNCTION("""COMPUTED_VALUE"""),1682921625)</f>
        <v>1682921625</v>
      </c>
      <c r="E81" s="12">
        <f ca="1">IFERROR(__xludf.DUMMYFUNCTION("""COMPUTED_VALUE"""),46241)</f>
        <v>46241</v>
      </c>
      <c r="F81" s="10"/>
      <c r="G81" s="10" t="str">
        <f ca="1">IFERROR(__xludf.DUMMYFUNCTION("""COMPUTED_VALUE"""),"B2C")</f>
        <v>B2C</v>
      </c>
      <c r="H81" s="10" t="str">
        <f ca="1">IFERROR(__xludf.DUMMYFUNCTION("""COMPUTED_VALUE"""),"Zuber Ahmed Khan")</f>
        <v>Zuber Ahmed Khan</v>
      </c>
    </row>
    <row r="82" spans="1:8">
      <c r="A82" s="10">
        <f ca="1">IFERROR(__xludf.DUMMYFUNCTION("""COMPUTED_VALUE"""),81)</f>
        <v>81</v>
      </c>
      <c r="B82" s="10" t="str">
        <f ca="1">IFERROR(__xludf.DUMMYFUNCTION("""COMPUTED_VALUE"""),"Indore City")</f>
        <v>Indore City</v>
      </c>
      <c r="C82" s="10" t="str">
        <f ca="1">IFERROR(__xludf.DUMMYFUNCTION("""COMPUTED_VALUE"""),"HIMANSHU TRADERS")</f>
        <v>HIMANSHU TRADERS</v>
      </c>
      <c r="D82" s="10">
        <f ca="1">IFERROR(__xludf.DUMMYFUNCTION("""COMPUTED_VALUE"""),1658779587)</f>
        <v>1658779587</v>
      </c>
      <c r="E82" s="12">
        <f ca="1">IFERROR(__xludf.DUMMYFUNCTION("""COMPUTED_VALUE"""),46241)</f>
        <v>46241</v>
      </c>
      <c r="F82" s="10"/>
      <c r="G82" s="10" t="str">
        <f ca="1">IFERROR(__xludf.DUMMYFUNCTION("""COMPUTED_VALUE"""),"B2C")</f>
        <v>B2C</v>
      </c>
      <c r="H82" s="10" t="str">
        <f ca="1">IFERROR(__xludf.DUMMYFUNCTION("""COMPUTED_VALUE"""),"Zuber Ahmed Khan")</f>
        <v>Zuber Ahmed Khan</v>
      </c>
    </row>
    <row r="83" spans="1:8">
      <c r="A83" s="10">
        <f ca="1">IFERROR(__xludf.DUMMYFUNCTION("""COMPUTED_VALUE"""),82)</f>
        <v>82</v>
      </c>
      <c r="B83" s="10" t="str">
        <f ca="1">IFERROR(__xludf.DUMMYFUNCTION("""COMPUTED_VALUE"""),"Indore City")</f>
        <v>Indore City</v>
      </c>
      <c r="C83" s="10" t="str">
        <f ca="1">IFERROR(__xludf.DUMMYFUNCTION("""COMPUTED_VALUE"""),"LUCKYS PHARMA LAB PVT LTD")</f>
        <v>LUCKYS PHARMA LAB PVT LTD</v>
      </c>
      <c r="D83" s="10">
        <f ca="1">IFERROR(__xludf.DUMMYFUNCTION("""COMPUTED_VALUE"""),1684392997)</f>
        <v>1684392997</v>
      </c>
      <c r="E83" s="12">
        <f ca="1">IFERROR(__xludf.DUMMYFUNCTION("""COMPUTED_VALUE"""),46241)</f>
        <v>46241</v>
      </c>
      <c r="F83" s="10"/>
      <c r="G83" s="10" t="str">
        <f ca="1">IFERROR(__xludf.DUMMYFUNCTION("""COMPUTED_VALUE"""),"B2C")</f>
        <v>B2C</v>
      </c>
      <c r="H83" s="10" t="str">
        <f ca="1">IFERROR(__xludf.DUMMYFUNCTION("""COMPUTED_VALUE"""),"Jalaj Rawat")</f>
        <v>Jalaj Rawat</v>
      </c>
    </row>
    <row r="84" spans="1:8">
      <c r="A84" s="10">
        <f ca="1">IFERROR(__xludf.DUMMYFUNCTION("""COMPUTED_VALUE"""),83)</f>
        <v>83</v>
      </c>
      <c r="B84" s="10" t="str">
        <f ca="1">IFERROR(__xludf.DUMMYFUNCTION("""COMPUTED_VALUE"""),"Indore City")</f>
        <v>Indore City</v>
      </c>
      <c r="C84" s="10" t="str">
        <f ca="1">IFERROR(__xludf.DUMMYFUNCTION("""COMPUTED_VALUE"""),"m.p. exam academy")</f>
        <v>m.p. exam academy</v>
      </c>
      <c r="D84" s="10">
        <f ca="1">IFERROR(__xludf.DUMMYFUNCTION("""COMPUTED_VALUE"""),1774327470)</f>
        <v>1774327470</v>
      </c>
      <c r="E84" s="12">
        <f ca="1">IFERROR(__xludf.DUMMYFUNCTION("""COMPUTED_VALUE"""),46241)</f>
        <v>46241</v>
      </c>
      <c r="F84" s="10"/>
      <c r="G84" s="10" t="str">
        <f ca="1">IFERROR(__xludf.DUMMYFUNCTION("""COMPUTED_VALUE"""),"B2C")</f>
        <v>B2C</v>
      </c>
      <c r="H84" s="10" t="str">
        <f ca="1">IFERROR(__xludf.DUMMYFUNCTION("""COMPUTED_VALUE"""),"Rahul Panchal")</f>
        <v>Rahul Panchal</v>
      </c>
    </row>
    <row r="85" spans="1:8">
      <c r="A85" s="10">
        <f ca="1">IFERROR(__xludf.DUMMYFUNCTION("""COMPUTED_VALUE"""),84)</f>
        <v>84</v>
      </c>
      <c r="B85" s="10" t="str">
        <f ca="1">IFERROR(__xludf.DUMMYFUNCTION("""COMPUTED_VALUE"""),"Indore City")</f>
        <v>Indore City</v>
      </c>
      <c r="C85" s="10" t="str">
        <f ca="1">IFERROR(__xludf.DUMMYFUNCTION("""COMPUTED_VALUE"""),"sansaram")</f>
        <v>sansaram</v>
      </c>
      <c r="D85" s="10">
        <f ca="1">IFERROR(__xludf.DUMMYFUNCTION("""COMPUTED_VALUE"""),1274236974)</f>
        <v>1274236974</v>
      </c>
      <c r="E85" s="12">
        <f ca="1">IFERROR(__xludf.DUMMYFUNCTION("""COMPUTED_VALUE"""),46241)</f>
        <v>46241</v>
      </c>
      <c r="F85" s="10"/>
      <c r="G85" s="10" t="str">
        <f ca="1">IFERROR(__xludf.DUMMYFUNCTION("""COMPUTED_VALUE"""),"B2C")</f>
        <v>B2C</v>
      </c>
      <c r="H85" s="10" t="str">
        <f ca="1">IFERROR(__xludf.DUMMYFUNCTION("""COMPUTED_VALUE"""),"Rahul Panchal")</f>
        <v>Rahul Panchal</v>
      </c>
    </row>
    <row r="86" spans="1:8">
      <c r="A86" s="10">
        <f ca="1">IFERROR(__xludf.DUMMYFUNCTION("""COMPUTED_VALUE"""),85)</f>
        <v>85</v>
      </c>
      <c r="B86" s="10" t="str">
        <f ca="1">IFERROR(__xludf.DUMMYFUNCTION("""COMPUTED_VALUE"""),"Indore City")</f>
        <v>Indore City</v>
      </c>
      <c r="C86" s="10" t="str">
        <f ca="1">IFERROR(__xludf.DUMMYFUNCTION("""COMPUTED_VALUE"""),"shri satyasai books and publication trust")</f>
        <v>shri satyasai books and publication trust</v>
      </c>
      <c r="D86" s="10">
        <f ca="1">IFERROR(__xludf.DUMMYFUNCTION("""COMPUTED_VALUE"""),1685737865)</f>
        <v>1685737865</v>
      </c>
      <c r="E86" s="12">
        <f ca="1">IFERROR(__xludf.DUMMYFUNCTION("""COMPUTED_VALUE"""),46241)</f>
        <v>46241</v>
      </c>
      <c r="F86" s="10"/>
      <c r="G86" s="10" t="str">
        <f ca="1">IFERROR(__xludf.DUMMYFUNCTION("""COMPUTED_VALUE"""),"B2C")</f>
        <v>B2C</v>
      </c>
      <c r="H86" s="10" t="str">
        <f ca="1">IFERROR(__xludf.DUMMYFUNCTION("""COMPUTED_VALUE"""),"Zuber Ahmed Khan")</f>
        <v>Zuber Ahmed Khan</v>
      </c>
    </row>
    <row r="87" spans="1:8">
      <c r="A87" s="10">
        <f ca="1">IFERROR(__xludf.DUMMYFUNCTION("""COMPUTED_VALUE"""),86)</f>
        <v>86</v>
      </c>
      <c r="B87" s="10" t="str">
        <f ca="1">IFERROR(__xludf.DUMMYFUNCTION("""COMPUTED_VALUE"""),"Indore City")</f>
        <v>Indore City</v>
      </c>
      <c r="C87" s="10" t="str">
        <f ca="1">IFERROR(__xludf.DUMMYFUNCTION("""COMPUTED_VALUE"""),"SYNERGY VENTURES")</f>
        <v>SYNERGY VENTURES</v>
      </c>
      <c r="D87" s="10">
        <f ca="1">IFERROR(__xludf.DUMMYFUNCTION("""COMPUTED_VALUE"""),1725308207)</f>
        <v>1725308207</v>
      </c>
      <c r="E87" s="12">
        <f ca="1">IFERROR(__xludf.DUMMYFUNCTION("""COMPUTED_VALUE"""),46241)</f>
        <v>46241</v>
      </c>
      <c r="F87" s="10"/>
      <c r="G87" s="10" t="str">
        <f ca="1">IFERROR(__xludf.DUMMYFUNCTION("""COMPUTED_VALUE"""),"B2C")</f>
        <v>B2C</v>
      </c>
      <c r="H87" s="10" t="str">
        <f ca="1">IFERROR(__xludf.DUMMYFUNCTION("""COMPUTED_VALUE"""),"Zuber Ahmed Khan")</f>
        <v>Zuber Ahmed Khan</v>
      </c>
    </row>
    <row r="88" spans="1:8">
      <c r="A88" s="10">
        <f ca="1">IFERROR(__xludf.DUMMYFUNCTION("""COMPUTED_VALUE"""),87)</f>
        <v>87</v>
      </c>
      <c r="B88" s="10" t="str">
        <f ca="1">IFERROR(__xludf.DUMMYFUNCTION("""COMPUTED_VALUE"""),"Indore City")</f>
        <v>Indore City</v>
      </c>
      <c r="C88" s="10" t="str">
        <f ca="1">IFERROR(__xludf.DUMMYFUNCTION("""COMPUTED_VALUE"""),"the word among us")</f>
        <v>the word among us</v>
      </c>
      <c r="D88" s="10">
        <f ca="1">IFERROR(__xludf.DUMMYFUNCTION("""COMPUTED_VALUE"""),1445096237)</f>
        <v>1445096237</v>
      </c>
      <c r="E88" s="12">
        <f ca="1">IFERROR(__xludf.DUMMYFUNCTION("""COMPUTED_VALUE"""),46241)</f>
        <v>46241</v>
      </c>
      <c r="F88" s="10"/>
      <c r="G88" s="10" t="str">
        <f ca="1">IFERROR(__xludf.DUMMYFUNCTION("""COMPUTED_VALUE"""),"B2C")</f>
        <v>B2C</v>
      </c>
      <c r="H88" s="10" t="str">
        <f ca="1">IFERROR(__xludf.DUMMYFUNCTION("""COMPUTED_VALUE"""),"Rahul Panchal")</f>
        <v>Rahul Panchal</v>
      </c>
    </row>
    <row r="89" spans="1:8">
      <c r="A89" s="10">
        <f ca="1">IFERROR(__xludf.DUMMYFUNCTION("""COMPUTED_VALUE"""),88)</f>
        <v>88</v>
      </c>
      <c r="B89" s="10" t="str">
        <f ca="1">IFERROR(__xludf.DUMMYFUNCTION("""COMPUTED_VALUE"""),"Indore City")</f>
        <v>Indore City</v>
      </c>
      <c r="C89" s="10" t="str">
        <f ca="1">IFERROR(__xludf.DUMMYFUNCTION("""COMPUTED_VALUE"""),"YUMILOOP")</f>
        <v>YUMILOOP</v>
      </c>
      <c r="D89" s="10">
        <f ca="1">IFERROR(__xludf.DUMMYFUNCTION("""COMPUTED_VALUE"""),1676380595)</f>
        <v>1676380595</v>
      </c>
      <c r="E89" s="12">
        <f ca="1">IFERROR(__xludf.DUMMYFUNCTION("""COMPUTED_VALUE"""),46241)</f>
        <v>46241</v>
      </c>
      <c r="F89" s="10"/>
      <c r="G89" s="10" t="str">
        <f ca="1">IFERROR(__xludf.DUMMYFUNCTION("""COMPUTED_VALUE"""),"B2C")</f>
        <v>B2C</v>
      </c>
      <c r="H89" s="10" t="str">
        <f ca="1">IFERROR(__xludf.DUMMYFUNCTION("""COMPUTED_VALUE"""),"Jalaj Rawat")</f>
        <v>Jalaj Rawat</v>
      </c>
    </row>
    <row r="90" spans="1:8">
      <c r="A90" s="10">
        <f ca="1">IFERROR(__xludf.DUMMYFUNCTION("""COMPUTED_VALUE"""),89)</f>
        <v>89</v>
      </c>
      <c r="B90" s="10" t="str">
        <f ca="1">IFERROR(__xludf.DUMMYFUNCTION("""COMPUTED_VALUE"""),"Indore City")</f>
        <v>Indore City</v>
      </c>
      <c r="C90" s="10" t="str">
        <f ca="1">IFERROR(__xludf.DUMMYFUNCTION("""COMPUTED_VALUE"""),"golden fortune")</f>
        <v>golden fortune</v>
      </c>
      <c r="D90" s="10">
        <f ca="1">IFERROR(__xludf.DUMMYFUNCTION("""COMPUTED_VALUE"""),1733415161)</f>
        <v>1733415161</v>
      </c>
      <c r="E90" s="12">
        <f ca="1">IFERROR(__xludf.DUMMYFUNCTION("""COMPUTED_VALUE"""),46244)</f>
        <v>46244</v>
      </c>
      <c r="F90" s="10"/>
      <c r="G90" s="10" t="str">
        <f ca="1">IFERROR(__xludf.DUMMYFUNCTION("""COMPUTED_VALUE"""),"B2C")</f>
        <v>B2C</v>
      </c>
      <c r="H90" s="10" t="str">
        <f ca="1">IFERROR(__xludf.DUMMYFUNCTION("""COMPUTED_VALUE"""),"Rahul Panchal")</f>
        <v>Rahul Panchal</v>
      </c>
    </row>
    <row r="91" spans="1:8">
      <c r="A91" s="10">
        <f ca="1">IFERROR(__xludf.DUMMYFUNCTION("""COMPUTED_VALUE"""),90)</f>
        <v>90</v>
      </c>
      <c r="B91" s="10" t="str">
        <f ca="1">IFERROR(__xludf.DUMMYFUNCTION("""COMPUTED_VALUE"""),"Indore City")</f>
        <v>Indore City</v>
      </c>
      <c r="C91" s="10" t="str">
        <f ca="1">IFERROR(__xludf.DUMMYFUNCTION("""COMPUTED_VALUE"""),"KRATI ENTERPRISES")</f>
        <v>KRATI ENTERPRISES</v>
      </c>
      <c r="D91" s="10">
        <f ca="1">IFERROR(__xludf.DUMMYFUNCTION("""COMPUTED_VALUE"""),1350549684)</f>
        <v>1350549684</v>
      </c>
      <c r="E91" s="12">
        <f ca="1">IFERROR(__xludf.DUMMYFUNCTION("""COMPUTED_VALUE"""),46244)</f>
        <v>46244</v>
      </c>
      <c r="F91" s="10"/>
      <c r="G91" s="10" t="str">
        <f ca="1">IFERROR(__xludf.DUMMYFUNCTION("""COMPUTED_VALUE"""),"B2C")</f>
        <v>B2C</v>
      </c>
      <c r="H91" s="10" t="str">
        <f ca="1">IFERROR(__xludf.DUMMYFUNCTION("""COMPUTED_VALUE"""),"Zuber Ahmed Khan")</f>
        <v>Zuber Ahmed Khan</v>
      </c>
    </row>
    <row r="92" spans="1:8">
      <c r="A92" s="10">
        <f ca="1">IFERROR(__xludf.DUMMYFUNCTION("""COMPUTED_VALUE"""),91)</f>
        <v>91</v>
      </c>
      <c r="B92" s="10" t="str">
        <f ca="1">IFERROR(__xludf.DUMMYFUNCTION("""COMPUTED_VALUE"""),"Indore City")</f>
        <v>Indore City</v>
      </c>
      <c r="C92" s="10" t="str">
        <f ca="1">IFERROR(__xludf.DUMMYFUNCTION("""COMPUTED_VALUE"""),"madhav overses corporation")</f>
        <v>madhav overses corporation</v>
      </c>
      <c r="D92" s="10">
        <f ca="1">IFERROR(__xludf.DUMMYFUNCTION("""COMPUTED_VALUE"""),1813348405)</f>
        <v>1813348405</v>
      </c>
      <c r="E92" s="12">
        <f ca="1">IFERROR(__xludf.DUMMYFUNCTION("""COMPUTED_VALUE"""),46244)</f>
        <v>46244</v>
      </c>
      <c r="F92" s="10"/>
      <c r="G92" s="10" t="str">
        <f ca="1">IFERROR(__xludf.DUMMYFUNCTION("""COMPUTED_VALUE"""),"B2C")</f>
        <v>B2C</v>
      </c>
      <c r="H92" s="10" t="str">
        <f ca="1">IFERROR(__xludf.DUMMYFUNCTION("""COMPUTED_VALUE"""),"Rahul Panchal")</f>
        <v>Rahul Panchal</v>
      </c>
    </row>
    <row r="93" spans="1:8">
      <c r="A93" s="10">
        <f ca="1">IFERROR(__xludf.DUMMYFUNCTION("""COMPUTED_VALUE"""),92)</f>
        <v>92</v>
      </c>
      <c r="B93" s="10" t="str">
        <f ca="1">IFERROR(__xludf.DUMMYFUNCTION("""COMPUTED_VALUE"""),"Indore City")</f>
        <v>Indore City</v>
      </c>
      <c r="C93" s="10" t="str">
        <f ca="1">IFERROR(__xludf.DUMMYFUNCTION("""COMPUTED_VALUE"""),"shreeji collection")</f>
        <v>shreeji collection</v>
      </c>
      <c r="D93" s="10">
        <f ca="1">IFERROR(__xludf.DUMMYFUNCTION("""COMPUTED_VALUE"""),1938121786)</f>
        <v>1938121786</v>
      </c>
      <c r="E93" s="12">
        <f ca="1">IFERROR(__xludf.DUMMYFUNCTION("""COMPUTED_VALUE"""),46244)</f>
        <v>46244</v>
      </c>
      <c r="F93" s="10"/>
      <c r="G93" s="10" t="str">
        <f ca="1">IFERROR(__xludf.DUMMYFUNCTION("""COMPUTED_VALUE"""),"B2C")</f>
        <v>B2C</v>
      </c>
      <c r="H93" s="10" t="str">
        <f ca="1">IFERROR(__xludf.DUMMYFUNCTION("""COMPUTED_VALUE"""),"Jalaj Rawat")</f>
        <v>Jalaj Rawat</v>
      </c>
    </row>
    <row r="94" spans="1:8">
      <c r="A94" s="10">
        <f ca="1">IFERROR(__xludf.DUMMYFUNCTION("""COMPUTED_VALUE"""),93)</f>
        <v>93</v>
      </c>
      <c r="B94" s="10" t="str">
        <f ca="1">IFERROR(__xludf.DUMMYFUNCTION("""COMPUTED_VALUE"""),"Indore City")</f>
        <v>Indore City</v>
      </c>
      <c r="C94" s="10" t="str">
        <f ca="1">IFERROR(__xludf.DUMMYFUNCTION("""COMPUTED_VALUE"""),"The Ayurveda Hub Healthcare Pvt Ltd")</f>
        <v>The Ayurveda Hub Healthcare Pvt Ltd</v>
      </c>
      <c r="D94" s="10">
        <f ca="1">IFERROR(__xludf.DUMMYFUNCTION("""COMPUTED_VALUE"""),1253677581)</f>
        <v>1253677581</v>
      </c>
      <c r="E94" s="12">
        <f ca="1">IFERROR(__xludf.DUMMYFUNCTION("""COMPUTED_VALUE"""),46244)</f>
        <v>46244</v>
      </c>
      <c r="F94" s="10"/>
      <c r="G94" s="10" t="str">
        <f ca="1">IFERROR(__xludf.DUMMYFUNCTION("""COMPUTED_VALUE"""),"B2C")</f>
        <v>B2C</v>
      </c>
      <c r="H94" s="10" t="str">
        <f ca="1">IFERROR(__xludf.DUMMYFUNCTION("""COMPUTED_VALUE"""),"Jalaj Rawat")</f>
        <v>Jalaj Rawat</v>
      </c>
    </row>
    <row r="95" spans="1:8">
      <c r="A95" s="10">
        <f ca="1">IFERROR(__xludf.DUMMYFUNCTION("""COMPUTED_VALUE"""),94)</f>
        <v>94</v>
      </c>
      <c r="B95" s="10" t="str">
        <f ca="1">IFERROR(__xludf.DUMMYFUNCTION("""COMPUTED_VALUE"""),"Indore City")</f>
        <v>Indore City</v>
      </c>
      <c r="C95" s="10" t="str">
        <f ca="1">IFERROR(__xludf.DUMMYFUNCTION("""COMPUTED_VALUE"""),"KD SHOPING")</f>
        <v>KD SHOPING</v>
      </c>
      <c r="D95" s="10">
        <f ca="1">IFERROR(__xludf.DUMMYFUNCTION("""COMPUTED_VALUE"""),1725852955)</f>
        <v>1725852955</v>
      </c>
      <c r="E95" s="12">
        <f ca="1">IFERROR(__xludf.DUMMYFUNCTION("""COMPUTED_VALUE"""),46246)</f>
        <v>46246</v>
      </c>
      <c r="F95" s="10"/>
      <c r="G95" s="10" t="str">
        <f ca="1">IFERROR(__xludf.DUMMYFUNCTION("""COMPUTED_VALUE"""),"B2C")</f>
        <v>B2C</v>
      </c>
      <c r="H95" s="10" t="str">
        <f ca="1">IFERROR(__xludf.DUMMYFUNCTION("""COMPUTED_VALUE"""),"Jalaj Rawat")</f>
        <v>Jalaj Rawat</v>
      </c>
    </row>
    <row r="96" spans="1:8">
      <c r="A96" s="10">
        <f ca="1">IFERROR(__xludf.DUMMYFUNCTION("""COMPUTED_VALUE"""),95)</f>
        <v>95</v>
      </c>
      <c r="B96" s="10" t="str">
        <f ca="1">IFERROR(__xludf.DUMMYFUNCTION("""COMPUTED_VALUE"""),"Indore City")</f>
        <v>Indore City</v>
      </c>
      <c r="C96" s="10" t="str">
        <f ca="1">IFERROR(__xludf.DUMMYFUNCTION("""COMPUTED_VALUE"""),"MYSHA CREATION")</f>
        <v>MYSHA CREATION</v>
      </c>
      <c r="D96" s="10">
        <f ca="1">IFERROR(__xludf.DUMMYFUNCTION("""COMPUTED_VALUE"""),3000067733)</f>
        <v>3000067733</v>
      </c>
      <c r="E96" s="12">
        <f ca="1">IFERROR(__xludf.DUMMYFUNCTION("""COMPUTED_VALUE"""),46246)</f>
        <v>46246</v>
      </c>
      <c r="F96" s="10"/>
      <c r="G96" s="10" t="str">
        <f ca="1">IFERROR(__xludf.DUMMYFUNCTION("""COMPUTED_VALUE"""),"B2C")</f>
        <v>B2C</v>
      </c>
      <c r="H96" s="10" t="str">
        <f ca="1">IFERROR(__xludf.DUMMYFUNCTION("""COMPUTED_VALUE"""),"Jalaj Rawat")</f>
        <v>Jalaj Rawat</v>
      </c>
    </row>
    <row r="97" spans="1:8">
      <c r="A97" s="10">
        <f ca="1">IFERROR(__xludf.DUMMYFUNCTION("""COMPUTED_VALUE"""),96)</f>
        <v>96</v>
      </c>
      <c r="B97" s="10" t="str">
        <f ca="1">IFERROR(__xludf.DUMMYFUNCTION("""COMPUTED_VALUE"""),"Indore City")</f>
        <v>Indore City</v>
      </c>
      <c r="C97" s="10" t="str">
        <f ca="1">IFERROR(__xludf.DUMMYFUNCTION("""COMPUTED_VALUE"""),"SANDESH YARN TRDING COMPANY PRIVATE LIMITED")</f>
        <v>SANDESH YARN TRDING COMPANY PRIVATE LIMITED</v>
      </c>
      <c r="D97" s="10">
        <f ca="1">IFERROR(__xludf.DUMMYFUNCTION("""COMPUTED_VALUE"""),1762979652)</f>
        <v>1762979652</v>
      </c>
      <c r="E97" s="12">
        <f ca="1">IFERROR(__xludf.DUMMYFUNCTION("""COMPUTED_VALUE"""),46246)</f>
        <v>46246</v>
      </c>
      <c r="F97" s="10"/>
      <c r="G97" s="10" t="str">
        <f ca="1">IFERROR(__xludf.DUMMYFUNCTION("""COMPUTED_VALUE"""),"B2C")</f>
        <v>B2C</v>
      </c>
      <c r="H97" s="10" t="str">
        <f ca="1">IFERROR(__xludf.DUMMYFUNCTION("""COMPUTED_VALUE"""),"Rahul Panchal")</f>
        <v>Rahul Panchal</v>
      </c>
    </row>
    <row r="98" spans="1:8">
      <c r="A98" s="10">
        <f ca="1">IFERROR(__xludf.DUMMYFUNCTION("""COMPUTED_VALUE"""),97)</f>
        <v>97</v>
      </c>
      <c r="B98" s="10" t="str">
        <f ca="1">IFERROR(__xludf.DUMMYFUNCTION("""COMPUTED_VALUE"""),"Indore City")</f>
        <v>Indore City</v>
      </c>
      <c r="C98" s="10" t="str">
        <f ca="1">IFERROR(__xludf.DUMMYFUNCTION("""COMPUTED_VALUE"""),"THE CURRENCYPEDIA")</f>
        <v>THE CURRENCYPEDIA</v>
      </c>
      <c r="D98" s="10">
        <f ca="1">IFERROR(__xludf.DUMMYFUNCTION("""COMPUTED_VALUE"""),3000063279)</f>
        <v>3000063279</v>
      </c>
      <c r="E98" s="12">
        <f ca="1">IFERROR(__xludf.DUMMYFUNCTION("""COMPUTED_VALUE"""),46246)</f>
        <v>46246</v>
      </c>
      <c r="F98" s="10"/>
      <c r="G98" s="10" t="str">
        <f ca="1">IFERROR(__xludf.DUMMYFUNCTION("""COMPUTED_VALUE"""),"B2C")</f>
        <v>B2C</v>
      </c>
      <c r="H98" s="10" t="str">
        <f ca="1">IFERROR(__xludf.DUMMYFUNCTION("""COMPUTED_VALUE"""),"Jalaj Rawat")</f>
        <v>Jalaj Rawat</v>
      </c>
    </row>
    <row r="99" spans="1:8">
      <c r="A99" s="10">
        <f ca="1">IFERROR(__xludf.DUMMYFUNCTION("""COMPUTED_VALUE"""),98)</f>
        <v>98</v>
      </c>
      <c r="B99" s="10" t="str">
        <f ca="1">IFERROR(__xludf.DUMMYFUNCTION("""COMPUTED_VALUE"""),"Indore City")</f>
        <v>Indore City</v>
      </c>
      <c r="C99" s="10" t="str">
        <f ca="1">IFERROR(__xludf.DUMMYFUNCTION("""COMPUTED_VALUE"""),"White O Splash")</f>
        <v>White O Splash</v>
      </c>
      <c r="D99" s="10">
        <f ca="1">IFERROR(__xludf.DUMMYFUNCTION("""COMPUTED_VALUE"""),1730557738)</f>
        <v>1730557738</v>
      </c>
      <c r="E99" s="12">
        <f ca="1">IFERROR(__xludf.DUMMYFUNCTION("""COMPUTED_VALUE"""),46246)</f>
        <v>46246</v>
      </c>
      <c r="F99" s="10"/>
      <c r="G99" s="10" t="str">
        <f ca="1">IFERROR(__xludf.DUMMYFUNCTION("""COMPUTED_VALUE"""),"B2C")</f>
        <v>B2C</v>
      </c>
      <c r="H99" s="10" t="str">
        <f ca="1">IFERROR(__xludf.DUMMYFUNCTION("""COMPUTED_VALUE"""),"Jalaj Rawat")</f>
        <v>Jalaj Rawat</v>
      </c>
    </row>
    <row r="100" spans="1:8">
      <c r="A100" s="10">
        <f ca="1">IFERROR(__xludf.DUMMYFUNCTION("""COMPUTED_VALUE"""),99)</f>
        <v>99</v>
      </c>
      <c r="B100" s="10" t="str">
        <f ca="1">IFERROR(__xludf.DUMMYFUNCTION("""COMPUTED_VALUE"""),"Indore City")</f>
        <v>Indore City</v>
      </c>
      <c r="C100" s="10" t="str">
        <f ca="1">IFERROR(__xludf.DUMMYFUNCTION("""COMPUTED_VALUE"""),"CUNTZTHRIFT")</f>
        <v>CUNTZTHRIFT</v>
      </c>
      <c r="D100" s="10">
        <f ca="1">IFERROR(__xludf.DUMMYFUNCTION("""COMPUTED_VALUE"""),1622015534)</f>
        <v>1622015534</v>
      </c>
      <c r="E100" s="12">
        <f ca="1">IFERROR(__xludf.DUMMYFUNCTION("""COMPUTED_VALUE"""),46248)</f>
        <v>46248</v>
      </c>
      <c r="F100" s="10"/>
      <c r="G100" s="10" t="str">
        <f ca="1">IFERROR(__xludf.DUMMYFUNCTION("""COMPUTED_VALUE"""),"B2C")</f>
        <v>B2C</v>
      </c>
      <c r="H100" s="10" t="str">
        <f ca="1">IFERROR(__xludf.DUMMYFUNCTION("""COMPUTED_VALUE"""),"Rahul Panchal")</f>
        <v>Rahul Panchal</v>
      </c>
    </row>
    <row r="101" spans="1:8">
      <c r="A101" s="10">
        <f ca="1">IFERROR(__xludf.DUMMYFUNCTION("""COMPUTED_VALUE"""),100)</f>
        <v>100</v>
      </c>
      <c r="B101" s="10" t="str">
        <f ca="1">IFERROR(__xludf.DUMMYFUNCTION("""COMPUTED_VALUE"""),"Indore City")</f>
        <v>Indore City</v>
      </c>
      <c r="C101" s="10" t="str">
        <f ca="1">IFERROR(__xludf.DUMMYFUNCTION("""COMPUTED_VALUE"""),"P.M. COLLECTION")</f>
        <v>P.M. COLLECTION</v>
      </c>
      <c r="D101" s="10">
        <f ca="1">IFERROR(__xludf.DUMMYFUNCTION("""COMPUTED_VALUE"""),1853770744)</f>
        <v>1853770744</v>
      </c>
      <c r="E101" s="12">
        <f ca="1">IFERROR(__xludf.DUMMYFUNCTION("""COMPUTED_VALUE"""),46248)</f>
        <v>46248</v>
      </c>
      <c r="F101" s="10"/>
      <c r="G101" s="10" t="str">
        <f ca="1">IFERROR(__xludf.DUMMYFUNCTION("""COMPUTED_VALUE"""),"B2C")</f>
        <v>B2C</v>
      </c>
      <c r="H101" s="10" t="str">
        <f ca="1">IFERROR(__xludf.DUMMYFUNCTION("""COMPUTED_VALUE"""),"Zuber Ahmed Khan")</f>
        <v>Zuber Ahmed Khan</v>
      </c>
    </row>
    <row r="102" spans="1:8">
      <c r="A102" s="10">
        <f ca="1">IFERROR(__xludf.DUMMYFUNCTION("""COMPUTED_VALUE"""),101)</f>
        <v>101</v>
      </c>
      <c r="B102" s="10" t="str">
        <f ca="1">IFERROR(__xludf.DUMMYFUNCTION("""COMPUTED_VALUE"""),"Indore City")</f>
        <v>Indore City</v>
      </c>
      <c r="C102" s="10" t="str">
        <f ca="1">IFERROR(__xludf.DUMMYFUNCTION("""COMPUTED_VALUE"""),"RATHI TRADERS")</f>
        <v>RATHI TRADERS</v>
      </c>
      <c r="D102" s="10">
        <f ca="1">IFERROR(__xludf.DUMMYFUNCTION("""COMPUTED_VALUE"""),3000069560)</f>
        <v>3000069560</v>
      </c>
      <c r="E102" s="12">
        <f ca="1">IFERROR(__xludf.DUMMYFUNCTION("""COMPUTED_VALUE"""),46248)</f>
        <v>46248</v>
      </c>
      <c r="F102" s="10"/>
      <c r="G102" s="10" t="str">
        <f ca="1">IFERROR(__xludf.DUMMYFUNCTION("""COMPUTED_VALUE"""),"B2C")</f>
        <v>B2C</v>
      </c>
      <c r="H102" s="10" t="str">
        <f ca="1">IFERROR(__xludf.DUMMYFUNCTION("""COMPUTED_VALUE"""),"Jalaj Rawat")</f>
        <v>Jalaj Rawat</v>
      </c>
    </row>
    <row r="103" spans="1:8">
      <c r="A103" s="10">
        <f ca="1">IFERROR(__xludf.DUMMYFUNCTION("""COMPUTED_VALUE"""),102)</f>
        <v>102</v>
      </c>
      <c r="B103" s="10" t="str">
        <f ca="1">IFERROR(__xludf.DUMMYFUNCTION("""COMPUTED_VALUE"""),"Indore City")</f>
        <v>Indore City</v>
      </c>
      <c r="C103" s="10" t="str">
        <f ca="1">IFERROR(__xludf.DUMMYFUNCTION("""COMPUTED_VALUE"""),"HARSHI'S HUB")</f>
        <v>HARSHI'S HUB</v>
      </c>
      <c r="D103" s="10">
        <f ca="1">IFERROR(__xludf.DUMMYFUNCTION("""COMPUTED_VALUE"""),3000068491)</f>
        <v>3000068491</v>
      </c>
      <c r="E103" s="12">
        <f ca="1">IFERROR(__xludf.DUMMYFUNCTION("""COMPUTED_VALUE"""),46252)</f>
        <v>46252</v>
      </c>
      <c r="F103" s="10"/>
      <c r="G103" s="10" t="str">
        <f ca="1">IFERROR(__xludf.DUMMYFUNCTION("""COMPUTED_VALUE"""),"B2C")</f>
        <v>B2C</v>
      </c>
      <c r="H103" s="10" t="str">
        <f ca="1">IFERROR(__xludf.DUMMYFUNCTION("""COMPUTED_VALUE"""),"Rahul Panchal")</f>
        <v>Rahul Panchal</v>
      </c>
    </row>
    <row r="104" spans="1:8">
      <c r="A104" s="10">
        <f ca="1">IFERROR(__xludf.DUMMYFUNCTION("""COMPUTED_VALUE"""),103)</f>
        <v>103</v>
      </c>
      <c r="B104" s="10" t="str">
        <f ca="1">IFERROR(__xludf.DUMMYFUNCTION("""COMPUTED_VALUE"""),"Indore City")</f>
        <v>Indore City</v>
      </c>
      <c r="C104" s="10" t="str">
        <f ca="1">IFERROR(__xludf.DUMMYFUNCTION("""COMPUTED_VALUE"""),"DIVISIONAL FOOD TESTING LABORATORY")</f>
        <v>DIVISIONAL FOOD TESTING LABORATORY</v>
      </c>
      <c r="D104" s="10">
        <f ca="1">IFERROR(__xludf.DUMMYFUNCTION("""COMPUTED_VALUE"""),1478187168)</f>
        <v>1478187168</v>
      </c>
      <c r="E104" s="12">
        <f ca="1">IFERROR(__xludf.DUMMYFUNCTION("""COMPUTED_VALUE"""),46255)</f>
        <v>46255</v>
      </c>
      <c r="F104" s="10"/>
      <c r="G104" s="10" t="str">
        <f ca="1">IFERROR(__xludf.DUMMYFUNCTION("""COMPUTED_VALUE"""),"B2C")</f>
        <v>B2C</v>
      </c>
      <c r="H104" s="10" t="str">
        <f ca="1">IFERROR(__xludf.DUMMYFUNCTION("""COMPUTED_VALUE"""),"Jalaj Rawat")</f>
        <v>Jalaj Rawat</v>
      </c>
    </row>
    <row r="105" spans="1:8">
      <c r="A105" s="10">
        <f ca="1">IFERROR(__xludf.DUMMYFUNCTION("""COMPUTED_VALUE"""),104)</f>
        <v>104</v>
      </c>
      <c r="B105" s="10" t="str">
        <f ca="1">IFERROR(__xludf.DUMMYFUNCTION("""COMPUTED_VALUE"""),"Indore City")</f>
        <v>Indore City</v>
      </c>
      <c r="C105" s="10" t="str">
        <f ca="1">IFERROR(__xludf.DUMMYFUNCTION("""COMPUTED_VALUE"""),"LIC MANDAL KARYALAY")</f>
        <v>LIC MANDAL KARYALAY</v>
      </c>
      <c r="D105" s="10">
        <f ca="1">IFERROR(__xludf.DUMMYFUNCTION("""COMPUTED_VALUE"""),1473113296)</f>
        <v>1473113296</v>
      </c>
      <c r="E105" s="12">
        <f ca="1">IFERROR(__xludf.DUMMYFUNCTION("""COMPUTED_VALUE"""),46255)</f>
        <v>46255</v>
      </c>
      <c r="F105" s="10"/>
      <c r="G105" s="10" t="str">
        <f ca="1">IFERROR(__xludf.DUMMYFUNCTION("""COMPUTED_VALUE"""),"B2C")</f>
        <v>B2C</v>
      </c>
      <c r="H105" s="10" t="str">
        <f ca="1">IFERROR(__xludf.DUMMYFUNCTION("""COMPUTED_VALUE"""),"Jalaj Rawat")</f>
        <v>Jalaj Rawat</v>
      </c>
    </row>
    <row r="106" spans="1:8">
      <c r="A106" s="10">
        <f ca="1">IFERROR(__xludf.DUMMYFUNCTION("""COMPUTED_VALUE"""),105)</f>
        <v>105</v>
      </c>
      <c r="B106" s="10" t="str">
        <f ca="1">IFERROR(__xludf.DUMMYFUNCTION("""COMPUTED_VALUE"""),"Indore City")</f>
        <v>Indore City</v>
      </c>
      <c r="C106" s="10" t="str">
        <f ca="1">IFERROR(__xludf.DUMMYFUNCTION("""COMPUTED_VALUE"""),"SGKING PRIVATE LIMITED")</f>
        <v>SGKING PRIVATE LIMITED</v>
      </c>
      <c r="D106" s="10">
        <f ca="1">IFERROR(__xludf.DUMMYFUNCTION("""COMPUTED_VALUE"""),1295335058)</f>
        <v>1295335058</v>
      </c>
      <c r="E106" s="12">
        <f ca="1">IFERROR(__xludf.DUMMYFUNCTION("""COMPUTED_VALUE"""),46255)</f>
        <v>46255</v>
      </c>
      <c r="F106" s="10"/>
      <c r="G106" s="10" t="str">
        <f ca="1">IFERROR(__xludf.DUMMYFUNCTION("""COMPUTED_VALUE"""),"B2C")</f>
        <v>B2C</v>
      </c>
      <c r="H106" s="10" t="str">
        <f ca="1">IFERROR(__xludf.DUMMYFUNCTION("""COMPUTED_VALUE"""),"Rahul Panchal")</f>
        <v>Rahul Panchal</v>
      </c>
    </row>
    <row r="107" spans="1:8">
      <c r="A107" s="10">
        <f ca="1">IFERROR(__xludf.DUMMYFUNCTION("""COMPUTED_VALUE"""),106)</f>
        <v>106</v>
      </c>
      <c r="B107" s="10" t="str">
        <f ca="1">IFERROR(__xludf.DUMMYFUNCTION("""COMPUTED_VALUE"""),"Indore City")</f>
        <v>Indore City</v>
      </c>
      <c r="C107" s="10" t="str">
        <f ca="1">IFERROR(__xludf.DUMMYFUNCTION("""COMPUTED_VALUE"""),"COCOECLUB")</f>
        <v>COCOECLUB</v>
      </c>
      <c r="D107" s="10">
        <f ca="1">IFERROR(__xludf.DUMMYFUNCTION("""COMPUTED_VALUE"""),1123158393)</f>
        <v>1123158393</v>
      </c>
      <c r="E107" s="12">
        <f ca="1">IFERROR(__xludf.DUMMYFUNCTION("""COMPUTED_VALUE"""),46259)</f>
        <v>46259</v>
      </c>
      <c r="F107" s="10"/>
      <c r="G107" s="10" t="str">
        <f ca="1">IFERROR(__xludf.DUMMYFUNCTION("""COMPUTED_VALUE"""),"B2C")</f>
        <v>B2C</v>
      </c>
      <c r="H107" s="10" t="str">
        <f ca="1">IFERROR(__xludf.DUMMYFUNCTION("""COMPUTED_VALUE"""),"Zuber Ahmed Khan")</f>
        <v>Zuber Ahmed Khan</v>
      </c>
    </row>
    <row r="108" spans="1:8">
      <c r="A108" s="10">
        <f ca="1">IFERROR(__xludf.DUMMYFUNCTION("""COMPUTED_VALUE"""),107)</f>
        <v>107</v>
      </c>
      <c r="B108" s="10" t="str">
        <f ca="1">IFERROR(__xludf.DUMMYFUNCTION("""COMPUTED_VALUE"""),"Indore City")</f>
        <v>Indore City</v>
      </c>
      <c r="C108" s="10" t="str">
        <f ca="1">IFERROR(__xludf.DUMMYFUNCTION("""COMPUTED_VALUE"""),"GS SECURITY SERVICES")</f>
        <v>GS SECURITY SERVICES</v>
      </c>
      <c r="D108" s="10">
        <f ca="1">IFERROR(__xludf.DUMMYFUNCTION("""COMPUTED_VALUE"""),3000054450)</f>
        <v>3000054450</v>
      </c>
      <c r="E108" s="12">
        <f ca="1">IFERROR(__xludf.DUMMYFUNCTION("""COMPUTED_VALUE"""),46259)</f>
        <v>46259</v>
      </c>
      <c r="F108" s="10"/>
      <c r="G108" s="10" t="str">
        <f ca="1">IFERROR(__xludf.DUMMYFUNCTION("""COMPUTED_VALUE"""),"B2C")</f>
        <v>B2C</v>
      </c>
      <c r="H108" s="10" t="str">
        <f ca="1">IFERROR(__xludf.DUMMYFUNCTION("""COMPUTED_VALUE"""),"Jalaj Rawat")</f>
        <v>Jalaj Rawat</v>
      </c>
    </row>
    <row r="109" spans="1:8">
      <c r="A109" s="10">
        <f ca="1">IFERROR(__xludf.DUMMYFUNCTION("""COMPUTED_VALUE"""),108)</f>
        <v>108</v>
      </c>
      <c r="B109" s="10" t="str">
        <f ca="1">IFERROR(__xludf.DUMMYFUNCTION("""COMPUTED_VALUE"""),"Indore City")</f>
        <v>Indore City</v>
      </c>
      <c r="C109" s="10" t="str">
        <f ca="1">IFERROR(__xludf.DUMMYFUNCTION("""COMPUTED_VALUE"""),"ISHVARI ARTS")</f>
        <v>ISHVARI ARTS</v>
      </c>
      <c r="D109" s="10">
        <f ca="1">IFERROR(__xludf.DUMMYFUNCTION("""COMPUTED_VALUE"""),1205457511)</f>
        <v>1205457511</v>
      </c>
      <c r="E109" s="12">
        <f ca="1">IFERROR(__xludf.DUMMYFUNCTION("""COMPUTED_VALUE"""),46259)</f>
        <v>46259</v>
      </c>
      <c r="F109" s="10"/>
      <c r="G109" s="10" t="str">
        <f ca="1">IFERROR(__xludf.DUMMYFUNCTION("""COMPUTED_VALUE"""),"B2C")</f>
        <v>B2C</v>
      </c>
      <c r="H109" s="10" t="str">
        <f ca="1">IFERROR(__xludf.DUMMYFUNCTION("""COMPUTED_VALUE"""),"Jalaj Rawat")</f>
        <v>Jalaj Rawat</v>
      </c>
    </row>
    <row r="110" spans="1:8">
      <c r="A110" s="10">
        <f ca="1">IFERROR(__xludf.DUMMYFUNCTION("""COMPUTED_VALUE"""),109)</f>
        <v>109</v>
      </c>
      <c r="B110" s="10" t="str">
        <f ca="1">IFERROR(__xludf.DUMMYFUNCTION("""COMPUTED_VALUE"""),"Indore City")</f>
        <v>Indore City</v>
      </c>
      <c r="C110" s="10" t="str">
        <f ca="1">IFERROR(__xludf.DUMMYFUNCTION("""COMPUTED_VALUE"""),"MOHANTY BOARD INDUSTRIES")</f>
        <v>MOHANTY BOARD INDUSTRIES</v>
      </c>
      <c r="D110" s="10">
        <f ca="1">IFERROR(__xludf.DUMMYFUNCTION("""COMPUTED_VALUE"""),1838596890)</f>
        <v>1838596890</v>
      </c>
      <c r="E110" s="12">
        <f ca="1">IFERROR(__xludf.DUMMYFUNCTION("""COMPUTED_VALUE"""),46259)</f>
        <v>46259</v>
      </c>
      <c r="F110" s="10"/>
      <c r="G110" s="10" t="str">
        <f ca="1">IFERROR(__xludf.DUMMYFUNCTION("""COMPUTED_VALUE"""),"B2C")</f>
        <v>B2C</v>
      </c>
      <c r="H110" s="10" t="str">
        <f ca="1">IFERROR(__xludf.DUMMYFUNCTION("""COMPUTED_VALUE"""),"Jalaj Rawat")</f>
        <v>Jalaj Rawat</v>
      </c>
    </row>
    <row r="111" spans="1:8">
      <c r="A111" s="10">
        <f ca="1">IFERROR(__xludf.DUMMYFUNCTION("""COMPUTED_VALUE"""),110)</f>
        <v>110</v>
      </c>
      <c r="B111" s="10" t="str">
        <f ca="1">IFERROR(__xludf.DUMMYFUNCTION("""COMPUTED_VALUE"""),"Indore City")</f>
        <v>Indore City</v>
      </c>
      <c r="C111" s="10" t="str">
        <f ca="1">IFERROR(__xludf.DUMMYFUNCTION("""COMPUTED_VALUE"""),"SWAARNIM NATURSCIENCE LIMITED")</f>
        <v>SWAARNIM NATURSCIENCE LIMITED</v>
      </c>
      <c r="D111" s="10">
        <f ca="1">IFERROR(__xludf.DUMMYFUNCTION("""COMPUTED_VALUE"""),1568847077)</f>
        <v>1568847077</v>
      </c>
      <c r="E111" s="12">
        <f ca="1">IFERROR(__xludf.DUMMYFUNCTION("""COMPUTED_VALUE"""),46259)</f>
        <v>46259</v>
      </c>
      <c r="F111" s="10"/>
      <c r="G111" s="10" t="str">
        <f ca="1">IFERROR(__xludf.DUMMYFUNCTION("""COMPUTED_VALUE"""),"B2C")</f>
        <v>B2C</v>
      </c>
      <c r="H111" s="10" t="str">
        <f ca="1">IFERROR(__xludf.DUMMYFUNCTION("""COMPUTED_VALUE"""),"Jalaj Rawat")</f>
        <v>Jalaj Rawat</v>
      </c>
    </row>
    <row r="112" spans="1:8">
      <c r="A112" s="10">
        <f ca="1">IFERROR(__xludf.DUMMYFUNCTION("""COMPUTED_VALUE"""),111)</f>
        <v>111</v>
      </c>
      <c r="B112" s="10" t="str">
        <f ca="1">IFERROR(__xludf.DUMMYFUNCTION("""COMPUTED_VALUE"""),"Indore City")</f>
        <v>Indore City</v>
      </c>
      <c r="C112" s="10" t="str">
        <f ca="1">IFERROR(__xludf.DUMMYFUNCTION("""COMPUTED_VALUE"""),"ZYLACIA")</f>
        <v>ZYLACIA</v>
      </c>
      <c r="D112" s="10">
        <f ca="1">IFERROR(__xludf.DUMMYFUNCTION("""COMPUTED_VALUE"""),1125768630)</f>
        <v>1125768630</v>
      </c>
      <c r="E112" s="12">
        <f ca="1">IFERROR(__xludf.DUMMYFUNCTION("""COMPUTED_VALUE"""),46259)</f>
        <v>46259</v>
      </c>
      <c r="F112" s="10"/>
      <c r="G112" s="10" t="str">
        <f ca="1">IFERROR(__xludf.DUMMYFUNCTION("""COMPUTED_VALUE"""),"B2C")</f>
        <v>B2C</v>
      </c>
      <c r="H112" s="10" t="str">
        <f ca="1">IFERROR(__xludf.DUMMYFUNCTION("""COMPUTED_VALUE"""),"Zuber Ahmed Khan")</f>
        <v>Zuber Ahmed Khan</v>
      </c>
    </row>
    <row r="113" spans="1:8">
      <c r="A113" s="10">
        <f ca="1">IFERROR(__xludf.DUMMYFUNCTION("""COMPUTED_VALUE"""),112)</f>
        <v>112</v>
      </c>
      <c r="B113" s="10" t="str">
        <f ca="1">IFERROR(__xludf.DUMMYFUNCTION("""COMPUTED_VALUE"""),"Indore City")</f>
        <v>Indore City</v>
      </c>
      <c r="C113" s="10" t="str">
        <f ca="1">IFERROR(__xludf.DUMMYFUNCTION("""COMPUTED_VALUE"""),"LAXMI AGRO AGENCY")</f>
        <v>LAXMI AGRO AGENCY</v>
      </c>
      <c r="D113" s="10">
        <f ca="1">IFERROR(__xludf.DUMMYFUNCTION("""COMPUTED_VALUE"""),1657954791)</f>
        <v>1657954791</v>
      </c>
      <c r="E113" s="12">
        <f ca="1">IFERROR(__xludf.DUMMYFUNCTION("""COMPUTED_VALUE"""),46266)</f>
        <v>46266</v>
      </c>
      <c r="F113" s="10"/>
      <c r="G113" s="10" t="str">
        <f ca="1">IFERROR(__xludf.DUMMYFUNCTION("""COMPUTED_VALUE"""),"B2C")</f>
        <v>B2C</v>
      </c>
      <c r="H113" s="10" t="str">
        <f ca="1">IFERROR(__xludf.DUMMYFUNCTION("""COMPUTED_VALUE"""),"Jalaj Rawat")</f>
        <v>Jalaj Rawat</v>
      </c>
    </row>
    <row r="114" spans="1:8">
      <c r="A114" s="10">
        <f ca="1">IFERROR(__xludf.DUMMYFUNCTION("""COMPUTED_VALUE"""),113)</f>
        <v>113</v>
      </c>
      <c r="B114" s="10" t="str">
        <f ca="1">IFERROR(__xludf.DUMMYFUNCTION("""COMPUTED_VALUE"""),"Indore City")</f>
        <v>Indore City</v>
      </c>
      <c r="C114" s="10" t="str">
        <f ca="1">IFERROR(__xludf.DUMMYFUNCTION("""COMPUTED_VALUE"""),"Competition Point")</f>
        <v>Competition Point</v>
      </c>
      <c r="D114" s="10">
        <f ca="1">IFERROR(__xludf.DUMMYFUNCTION("""COMPUTED_VALUE"""),1535324745)</f>
        <v>1535324745</v>
      </c>
      <c r="E114" s="12">
        <f ca="1">IFERROR(__xludf.DUMMYFUNCTION("""COMPUTED_VALUE"""),46268)</f>
        <v>46268</v>
      </c>
      <c r="F114" s="10"/>
      <c r="G114" s="10" t="str">
        <f ca="1">IFERROR(__xludf.DUMMYFUNCTION("""COMPUTED_VALUE"""),"B2C")</f>
        <v>B2C</v>
      </c>
      <c r="H114" s="10" t="str">
        <f ca="1">IFERROR(__xludf.DUMMYFUNCTION("""COMPUTED_VALUE"""),"Jalaj Rawat")</f>
        <v>Jalaj Rawat</v>
      </c>
    </row>
    <row r="115" spans="1:8">
      <c r="A115" s="10">
        <f ca="1">IFERROR(__xludf.DUMMYFUNCTION("""COMPUTED_VALUE"""),114)</f>
        <v>114</v>
      </c>
      <c r="B115" s="10" t="str">
        <f ca="1">IFERROR(__xludf.DUMMYFUNCTION("""COMPUTED_VALUE"""),"Indore City")</f>
        <v>Indore City</v>
      </c>
      <c r="C115" s="10" t="str">
        <f ca="1">IFERROR(__xludf.DUMMYFUNCTION("""COMPUTED_VALUE"""),"KHACHROD WALE KE NAMKEEN")</f>
        <v>KHACHROD WALE KE NAMKEEN</v>
      </c>
      <c r="D115" s="10">
        <f ca="1">IFERROR(__xludf.DUMMYFUNCTION("""COMPUTED_VALUE"""),1135036673)</f>
        <v>1135036673</v>
      </c>
      <c r="E115" s="12">
        <f ca="1">IFERROR(__xludf.DUMMYFUNCTION("""COMPUTED_VALUE"""),46268)</f>
        <v>46268</v>
      </c>
      <c r="F115" s="10"/>
      <c r="G115" s="10" t="str">
        <f ca="1">IFERROR(__xludf.DUMMYFUNCTION("""COMPUTED_VALUE"""),"B2C")</f>
        <v>B2C</v>
      </c>
      <c r="H115" s="10" t="str">
        <f ca="1">IFERROR(__xludf.DUMMYFUNCTION("""COMPUTED_VALUE"""),"Zuber Ahmed Khan")</f>
        <v>Zuber Ahmed Khan</v>
      </c>
    </row>
    <row r="116" spans="1:8">
      <c r="A116" s="10">
        <f ca="1">IFERROR(__xludf.DUMMYFUNCTION("""COMPUTED_VALUE"""),115)</f>
        <v>115</v>
      </c>
      <c r="B116" s="10" t="str">
        <f ca="1">IFERROR(__xludf.DUMMYFUNCTION("""COMPUTED_VALUE"""),"Indore City")</f>
        <v>Indore City</v>
      </c>
      <c r="C116" s="10" t="str">
        <f ca="1">IFERROR(__xludf.DUMMYFUNCTION("""COMPUTED_VALUE"""),"KREESHIKA SOLUTION")</f>
        <v>KREESHIKA SOLUTION</v>
      </c>
      <c r="D116" s="10">
        <f ca="1">IFERROR(__xludf.DUMMYFUNCTION("""COMPUTED_VALUE"""),1854782629)</f>
        <v>1854782629</v>
      </c>
      <c r="E116" s="12">
        <f ca="1">IFERROR(__xludf.DUMMYFUNCTION("""COMPUTED_VALUE"""),46268)</f>
        <v>46268</v>
      </c>
      <c r="F116" s="10"/>
      <c r="G116" s="10" t="str">
        <f ca="1">IFERROR(__xludf.DUMMYFUNCTION("""COMPUTED_VALUE"""),"B2C")</f>
        <v>B2C</v>
      </c>
      <c r="H116" s="10" t="str">
        <f ca="1">IFERROR(__xludf.DUMMYFUNCTION("""COMPUTED_VALUE"""),"Jalaj Rawat")</f>
        <v>Jalaj Rawat</v>
      </c>
    </row>
    <row r="117" spans="1:8">
      <c r="A117" s="10">
        <f ca="1">IFERROR(__xludf.DUMMYFUNCTION("""COMPUTED_VALUE"""),116)</f>
        <v>116</v>
      </c>
      <c r="B117" s="10" t="str">
        <f ca="1">IFERROR(__xludf.DUMMYFUNCTION("""COMPUTED_VALUE"""),"Indore City")</f>
        <v>Indore City</v>
      </c>
      <c r="C117" s="10" t="str">
        <f ca="1">IFERROR(__xludf.DUMMYFUNCTION("""COMPUTED_VALUE"""),"DRMEDILAB")</f>
        <v>DRMEDILAB</v>
      </c>
      <c r="D117" s="10">
        <f ca="1">IFERROR(__xludf.DUMMYFUNCTION("""COMPUTED_VALUE"""),1722162365)</f>
        <v>1722162365</v>
      </c>
      <c r="E117" s="12">
        <f ca="1">IFERROR(__xludf.DUMMYFUNCTION("""COMPUTED_VALUE"""),46272)</f>
        <v>46272</v>
      </c>
      <c r="F117" s="10"/>
      <c r="G117" s="10" t="str">
        <f ca="1">IFERROR(__xludf.DUMMYFUNCTION("""COMPUTED_VALUE"""),"B2C")</f>
        <v>B2C</v>
      </c>
      <c r="H117" s="10" t="str">
        <f ca="1">IFERROR(__xludf.DUMMYFUNCTION("""COMPUTED_VALUE"""),"Rahul Panchal")</f>
        <v>Rahul Panchal</v>
      </c>
    </row>
    <row r="118" spans="1:8">
      <c r="A118" s="10">
        <f ca="1">IFERROR(__xludf.DUMMYFUNCTION("""COMPUTED_VALUE"""),117)</f>
        <v>117</v>
      </c>
      <c r="B118" s="10" t="str">
        <f ca="1">IFERROR(__xludf.DUMMYFUNCTION("""COMPUTED_VALUE"""),"Indore City")</f>
        <v>Indore City</v>
      </c>
      <c r="C118" s="10" t="str">
        <f ca="1">IFERROR(__xludf.DUMMYFUNCTION("""COMPUTED_VALUE"""),"SHRI MAHAVEER HOME FURNISH EXPO PRIVATE LIMITED")</f>
        <v>SHRI MAHAVEER HOME FURNISH EXPO PRIVATE LIMITED</v>
      </c>
      <c r="D118" s="10">
        <f ca="1">IFERROR(__xludf.DUMMYFUNCTION("""COMPUTED_VALUE"""),1630655772)</f>
        <v>1630655772</v>
      </c>
      <c r="E118" s="12">
        <f ca="1">IFERROR(__xludf.DUMMYFUNCTION("""COMPUTED_VALUE"""),46272)</f>
        <v>46272</v>
      </c>
      <c r="F118" s="10"/>
      <c r="G118" s="10" t="str">
        <f ca="1">IFERROR(__xludf.DUMMYFUNCTION("""COMPUTED_VALUE"""),"B2C")</f>
        <v>B2C</v>
      </c>
      <c r="H118" s="10" t="str">
        <f ca="1">IFERROR(__xludf.DUMMYFUNCTION("""COMPUTED_VALUE"""),"Jalaj Rawat")</f>
        <v>Jalaj Rawat</v>
      </c>
    </row>
    <row r="119" spans="1:8">
      <c r="A119" s="10">
        <f ca="1">IFERROR(__xludf.DUMMYFUNCTION("""COMPUTED_VALUE"""),118)</f>
        <v>118</v>
      </c>
      <c r="B119" s="10" t="str">
        <f ca="1">IFERROR(__xludf.DUMMYFUNCTION("""COMPUTED_VALUE"""),"Indore City")</f>
        <v>Indore City</v>
      </c>
      <c r="C119" s="10" t="str">
        <f ca="1">IFERROR(__xludf.DUMMYFUNCTION("""COMPUTED_VALUE"""),"JUGADU LOKESH")</f>
        <v>JUGADU LOKESH</v>
      </c>
      <c r="D119" s="10">
        <f ca="1">IFERROR(__xludf.DUMMYFUNCTION("""COMPUTED_VALUE"""),1406987678)</f>
        <v>1406987678</v>
      </c>
      <c r="E119" s="12">
        <f ca="1">IFERROR(__xludf.DUMMYFUNCTION("""COMPUTED_VALUE"""),46275)</f>
        <v>46275</v>
      </c>
      <c r="F119" s="10"/>
      <c r="G119" s="10" t="str">
        <f ca="1">IFERROR(__xludf.DUMMYFUNCTION("""COMPUTED_VALUE"""),"B2C")</f>
        <v>B2C</v>
      </c>
      <c r="H119" s="10" t="str">
        <f ca="1">IFERROR(__xludf.DUMMYFUNCTION("""COMPUTED_VALUE"""),"Jalaj Rawat")</f>
        <v>Jalaj Rawat</v>
      </c>
    </row>
    <row r="120" spans="1:8">
      <c r="A120" s="10">
        <f ca="1">IFERROR(__xludf.DUMMYFUNCTION("""COMPUTED_VALUE"""),119)</f>
        <v>119</v>
      </c>
      <c r="B120" s="10" t="str">
        <f ca="1">IFERROR(__xludf.DUMMYFUNCTION("""COMPUTED_VALUE"""),"Indore City")</f>
        <v>Indore City</v>
      </c>
      <c r="C120" s="10" t="str">
        <f ca="1">IFERROR(__xludf.DUMMYFUNCTION("""COMPUTED_VALUE"""),"AAVYA ENTERPRISES")</f>
        <v>AAVYA ENTERPRISES</v>
      </c>
      <c r="D120" s="10">
        <f ca="1">IFERROR(__xludf.DUMMYFUNCTION("""COMPUTED_VALUE"""),1163419719)</f>
        <v>1163419719</v>
      </c>
      <c r="E120" s="12">
        <f ca="1">IFERROR(__xludf.DUMMYFUNCTION("""COMPUTED_VALUE"""),46280)</f>
        <v>46280</v>
      </c>
      <c r="F120" s="10"/>
      <c r="G120" s="10" t="str">
        <f ca="1">IFERROR(__xludf.DUMMYFUNCTION("""COMPUTED_VALUE"""),"B2C")</f>
        <v>B2C</v>
      </c>
      <c r="H120" s="10" t="str">
        <f ca="1">IFERROR(__xludf.DUMMYFUNCTION("""COMPUTED_VALUE"""),"Rahul Panchal")</f>
        <v>Rahul Panchal</v>
      </c>
    </row>
    <row r="121" spans="1:8">
      <c r="A121" s="10">
        <f ca="1">IFERROR(__xludf.DUMMYFUNCTION("""COMPUTED_VALUE"""),120)</f>
        <v>120</v>
      </c>
      <c r="B121" s="10" t="str">
        <f ca="1">IFERROR(__xludf.DUMMYFUNCTION("""COMPUTED_VALUE"""),"Indore City")</f>
        <v>Indore City</v>
      </c>
      <c r="C121" s="10" t="str">
        <f ca="1">IFERROR(__xludf.DUMMYFUNCTION("""COMPUTED_VALUE"""),"NEW SARRAH TRADING")</f>
        <v>NEW SARRAH TRADING</v>
      </c>
      <c r="D121" s="10">
        <f ca="1">IFERROR(__xludf.DUMMYFUNCTION("""COMPUTED_VALUE"""),1986767228)</f>
        <v>1986767228</v>
      </c>
      <c r="E121" s="12">
        <f ca="1">IFERROR(__xludf.DUMMYFUNCTION("""COMPUTED_VALUE"""),46280)</f>
        <v>46280</v>
      </c>
      <c r="F121" s="10"/>
      <c r="G121" s="10" t="str">
        <f ca="1">IFERROR(__xludf.DUMMYFUNCTION("""COMPUTED_VALUE"""),"B2C")</f>
        <v>B2C</v>
      </c>
      <c r="H121" s="10" t="str">
        <f ca="1">IFERROR(__xludf.DUMMYFUNCTION("""COMPUTED_VALUE"""),"Zuber Ahmed Khan")</f>
        <v>Zuber Ahmed Khan</v>
      </c>
    </row>
    <row r="122" spans="1:8">
      <c r="A122" s="10">
        <f ca="1">IFERROR(__xludf.DUMMYFUNCTION("""COMPUTED_VALUE"""),121)</f>
        <v>121</v>
      </c>
      <c r="B122" s="10" t="str">
        <f ca="1">IFERROR(__xludf.DUMMYFUNCTION("""COMPUTED_VALUE"""),"Indore City")</f>
        <v>Indore City</v>
      </c>
      <c r="C122" s="10" t="str">
        <f ca="1">IFERROR(__xludf.DUMMYFUNCTION("""COMPUTED_VALUE"""),"NEW SARRAH TRADING")</f>
        <v>NEW SARRAH TRADING</v>
      </c>
      <c r="D122" s="10">
        <f ca="1">IFERROR(__xludf.DUMMYFUNCTION("""COMPUTED_VALUE"""),1986767228)</f>
        <v>1986767228</v>
      </c>
      <c r="E122" s="12">
        <f ca="1">IFERROR(__xludf.DUMMYFUNCTION("""COMPUTED_VALUE"""),46280)</f>
        <v>46280</v>
      </c>
      <c r="F122" s="10"/>
      <c r="G122" s="10" t="str">
        <f ca="1">IFERROR(__xludf.DUMMYFUNCTION("""COMPUTED_VALUE"""),"B2C")</f>
        <v>B2C</v>
      </c>
      <c r="H122" s="10" t="str">
        <f ca="1">IFERROR(__xludf.DUMMYFUNCTION("""COMPUTED_VALUE"""),"Zuber Ahmed Khan")</f>
        <v>Zuber Ahmed Khan</v>
      </c>
    </row>
    <row r="123" spans="1:8">
      <c r="A123" s="10">
        <f ca="1">IFERROR(__xludf.DUMMYFUNCTION("""COMPUTED_VALUE"""),122)</f>
        <v>122</v>
      </c>
      <c r="B123" s="10" t="str">
        <f ca="1">IFERROR(__xludf.DUMMYFUNCTION("""COMPUTED_VALUE"""),"Indore City")</f>
        <v>Indore City</v>
      </c>
      <c r="C123" s="10" t="str">
        <f ca="1">IFERROR(__xludf.DUMMYFUNCTION("""COMPUTED_VALUE"""),"GKM NURSING CAREER POINT")</f>
        <v>GKM NURSING CAREER POINT</v>
      </c>
      <c r="D123" s="10">
        <f ca="1">IFERROR(__xludf.DUMMYFUNCTION("""COMPUTED_VALUE"""),1639127303)</f>
        <v>1639127303</v>
      </c>
      <c r="E123" s="12">
        <f ca="1">IFERROR(__xludf.DUMMYFUNCTION("""COMPUTED_VALUE"""),46281)</f>
        <v>46281</v>
      </c>
      <c r="F123" s="10"/>
      <c r="G123" s="10" t="str">
        <f ca="1">IFERROR(__xludf.DUMMYFUNCTION("""COMPUTED_VALUE"""),"B2C")</f>
        <v>B2C</v>
      </c>
      <c r="H123" s="10" t="str">
        <f ca="1">IFERROR(__xludf.DUMMYFUNCTION("""COMPUTED_VALUE"""),"Zuber Ahmed Khan")</f>
        <v>Zuber Ahmed Khan</v>
      </c>
    </row>
    <row r="124" spans="1:8">
      <c r="A124" s="10">
        <f ca="1">IFERROR(__xludf.DUMMYFUNCTION("""COMPUTED_VALUE"""),123)</f>
        <v>123</v>
      </c>
      <c r="B124" s="10" t="str">
        <f ca="1">IFERROR(__xludf.DUMMYFUNCTION("""COMPUTED_VALUE"""),"Indore City")</f>
        <v>Indore City</v>
      </c>
      <c r="C124" s="10" t="str">
        <f ca="1">IFERROR(__xludf.DUMMYFUNCTION("""COMPUTED_VALUE"""),"HPCL LPG RO INDORE")</f>
        <v>HPCL LPG RO INDORE</v>
      </c>
      <c r="D124" s="10">
        <f ca="1">IFERROR(__xludf.DUMMYFUNCTION("""COMPUTED_VALUE"""),1261051215)</f>
        <v>1261051215</v>
      </c>
      <c r="E124" s="12">
        <f ca="1">IFERROR(__xludf.DUMMYFUNCTION("""COMPUTED_VALUE"""),46281)</f>
        <v>46281</v>
      </c>
      <c r="F124" s="10"/>
      <c r="G124" s="10" t="str">
        <f ca="1">IFERROR(__xludf.DUMMYFUNCTION("""COMPUTED_VALUE"""),"B2C")</f>
        <v>B2C</v>
      </c>
      <c r="H124" s="10" t="str">
        <f ca="1">IFERROR(__xludf.DUMMYFUNCTION("""COMPUTED_VALUE"""),"Jalaj Rawat")</f>
        <v>Jalaj Rawat</v>
      </c>
    </row>
    <row r="125" spans="1:8">
      <c r="A125" s="10">
        <f ca="1">IFERROR(__xludf.DUMMYFUNCTION("""COMPUTED_VALUE"""),124)</f>
        <v>124</v>
      </c>
      <c r="B125" s="10" t="str">
        <f ca="1">IFERROR(__xludf.DUMMYFUNCTION("""COMPUTED_VALUE"""),"Indore City")</f>
        <v>Indore City</v>
      </c>
      <c r="C125" s="10" t="str">
        <f ca="1">IFERROR(__xludf.DUMMYFUNCTION("""COMPUTED_VALUE"""),"J R ENTERPRISES")</f>
        <v>J R ENTERPRISES</v>
      </c>
      <c r="D125" s="10">
        <f ca="1">IFERROR(__xludf.DUMMYFUNCTION("""COMPUTED_VALUE"""),1384942458)</f>
        <v>1384942458</v>
      </c>
      <c r="E125" s="12">
        <f ca="1">IFERROR(__xludf.DUMMYFUNCTION("""COMPUTED_VALUE"""),46281)</f>
        <v>46281</v>
      </c>
      <c r="F125" s="10"/>
      <c r="G125" s="10" t="str">
        <f ca="1">IFERROR(__xludf.DUMMYFUNCTION("""COMPUTED_VALUE"""),"B2C")</f>
        <v>B2C</v>
      </c>
      <c r="H125" s="10" t="str">
        <f ca="1">IFERROR(__xludf.DUMMYFUNCTION("""COMPUTED_VALUE"""),"Jalaj Rawat")</f>
        <v>Jalaj Rawat</v>
      </c>
    </row>
    <row r="126" spans="1:8">
      <c r="A126" s="10">
        <f ca="1">IFERROR(__xludf.DUMMYFUNCTION("""COMPUTED_VALUE"""),125)</f>
        <v>125</v>
      </c>
      <c r="B126" s="10" t="str">
        <f ca="1">IFERROR(__xludf.DUMMYFUNCTION("""COMPUTED_VALUE"""),"Indore City")</f>
        <v>Indore City</v>
      </c>
      <c r="C126" s="10" t="str">
        <f ca="1">IFERROR(__xludf.DUMMYFUNCTION("""COMPUTED_VALUE"""),"J R ENTERPRISES")</f>
        <v>J R ENTERPRISES</v>
      </c>
      <c r="D126" s="10">
        <f ca="1">IFERROR(__xludf.DUMMYFUNCTION("""COMPUTED_VALUE"""),1384942458)</f>
        <v>1384942458</v>
      </c>
      <c r="E126" s="12">
        <f ca="1">IFERROR(__xludf.DUMMYFUNCTION("""COMPUTED_VALUE"""),46281)</f>
        <v>46281</v>
      </c>
      <c r="F126" s="10"/>
      <c r="G126" s="10" t="str">
        <f ca="1">IFERROR(__xludf.DUMMYFUNCTION("""COMPUTED_VALUE"""),"B2C")</f>
        <v>B2C</v>
      </c>
      <c r="H126" s="10" t="str">
        <f ca="1">IFERROR(__xludf.DUMMYFUNCTION("""COMPUTED_VALUE"""),"Jalaj Rawat")</f>
        <v>Jalaj Rawat</v>
      </c>
    </row>
    <row r="127" spans="1:8">
      <c r="A127" s="10">
        <f ca="1">IFERROR(__xludf.DUMMYFUNCTION("""COMPUTED_VALUE"""),126)</f>
        <v>126</v>
      </c>
      <c r="B127" s="10" t="str">
        <f ca="1">IFERROR(__xludf.DUMMYFUNCTION("""COMPUTED_VALUE"""),"Indore City")</f>
        <v>Indore City</v>
      </c>
      <c r="C127" s="10" t="str">
        <f ca="1">IFERROR(__xludf.DUMMYFUNCTION("""COMPUTED_VALUE"""),"RIYAL STORE LLP")</f>
        <v>RIYAL STORE LLP</v>
      </c>
      <c r="D127" s="10">
        <f ca="1">IFERROR(__xludf.DUMMYFUNCTION("""COMPUTED_VALUE"""),1560588852)</f>
        <v>1560588852</v>
      </c>
      <c r="E127" s="12">
        <f ca="1">IFERROR(__xludf.DUMMYFUNCTION("""COMPUTED_VALUE"""),46281)</f>
        <v>46281</v>
      </c>
      <c r="F127" s="10"/>
      <c r="G127" s="10" t="str">
        <f ca="1">IFERROR(__xludf.DUMMYFUNCTION("""COMPUTED_VALUE"""),"B2C")</f>
        <v>B2C</v>
      </c>
      <c r="H127" s="10" t="str">
        <f ca="1">IFERROR(__xludf.DUMMYFUNCTION("""COMPUTED_VALUE"""),"Jalaj Rawat")</f>
        <v>Jalaj Rawat</v>
      </c>
    </row>
    <row r="128" spans="1:8">
      <c r="A128" s="10">
        <f ca="1">IFERROR(__xludf.DUMMYFUNCTION("""COMPUTED_VALUE"""),127)</f>
        <v>127</v>
      </c>
      <c r="B128" s="10" t="str">
        <f ca="1">IFERROR(__xludf.DUMMYFUNCTION("""COMPUTED_VALUE"""),"Indore City")</f>
        <v>Indore City</v>
      </c>
      <c r="C128" s="10" t="str">
        <f ca="1">IFERROR(__xludf.DUMMYFUNCTION("""COMPUTED_VALUE"""),"KREESHIKA SOLUTION")</f>
        <v>KREESHIKA SOLUTION</v>
      </c>
      <c r="D128" s="10">
        <f ca="1">IFERROR(__xludf.DUMMYFUNCTION("""COMPUTED_VALUE"""),1854782629)</f>
        <v>1854782629</v>
      </c>
      <c r="E128" s="12">
        <f ca="1">IFERROR(__xludf.DUMMYFUNCTION("""COMPUTED_VALUE"""),46286)</f>
        <v>46286</v>
      </c>
      <c r="F128" s="10"/>
      <c r="G128" s="10" t="str">
        <f ca="1">IFERROR(__xludf.DUMMYFUNCTION("""COMPUTED_VALUE"""),"B2C")</f>
        <v>B2C</v>
      </c>
      <c r="H128" s="10" t="str">
        <f ca="1">IFERROR(__xludf.DUMMYFUNCTION("""COMPUTED_VALUE"""),"Jalaj Rawat")</f>
        <v>Jalaj Rawat</v>
      </c>
    </row>
    <row r="129" spans="1:8">
      <c r="A129" s="10">
        <f ca="1">IFERROR(__xludf.DUMMYFUNCTION("""COMPUTED_VALUE"""),128)</f>
        <v>128</v>
      </c>
      <c r="B129" s="10" t="str">
        <f ca="1">IFERROR(__xludf.DUMMYFUNCTION("""COMPUTED_VALUE"""),"Indore City")</f>
        <v>Indore City</v>
      </c>
      <c r="C129" s="10" t="str">
        <f ca="1">IFERROR(__xludf.DUMMYFUNCTION("""COMPUTED_VALUE"""),"Lavish Livings Homes")</f>
        <v>Lavish Livings Homes</v>
      </c>
      <c r="D129" s="10">
        <f ca="1">IFERROR(__xludf.DUMMYFUNCTION("""COMPUTED_VALUE"""),1150539278)</f>
        <v>1150539278</v>
      </c>
      <c r="E129" s="12">
        <f ca="1">IFERROR(__xludf.DUMMYFUNCTION("""COMPUTED_VALUE"""),46286)</f>
        <v>46286</v>
      </c>
      <c r="F129" s="10"/>
      <c r="G129" s="10" t="str">
        <f ca="1">IFERROR(__xludf.DUMMYFUNCTION("""COMPUTED_VALUE"""),"B2C")</f>
        <v>B2C</v>
      </c>
      <c r="H129" s="10" t="str">
        <f ca="1">IFERROR(__xludf.DUMMYFUNCTION("""COMPUTED_VALUE"""),"Jalaj Rawat")</f>
        <v>Jalaj Rawat</v>
      </c>
    </row>
    <row r="130" spans="1:8">
      <c r="A130" s="10">
        <f ca="1">IFERROR(__xludf.DUMMYFUNCTION("""COMPUTED_VALUE"""),129)</f>
        <v>129</v>
      </c>
      <c r="B130" s="10" t="str">
        <f ca="1">IFERROR(__xludf.DUMMYFUNCTION("""COMPUTED_VALUE"""),"Indore City")</f>
        <v>Indore City</v>
      </c>
      <c r="C130" s="10" t="str">
        <f ca="1">IFERROR(__xludf.DUMMYFUNCTION("""COMPUTED_VALUE"""),"Lavish Livings Homes")</f>
        <v>Lavish Livings Homes</v>
      </c>
      <c r="D130" s="10">
        <f ca="1">IFERROR(__xludf.DUMMYFUNCTION("""COMPUTED_VALUE"""),1150539278)</f>
        <v>1150539278</v>
      </c>
      <c r="E130" s="12">
        <f ca="1">IFERROR(__xludf.DUMMYFUNCTION("""COMPUTED_VALUE"""),46286)</f>
        <v>46286</v>
      </c>
      <c r="F130" s="10"/>
      <c r="G130" s="10" t="str">
        <f ca="1">IFERROR(__xludf.DUMMYFUNCTION("""COMPUTED_VALUE"""),"B2C")</f>
        <v>B2C</v>
      </c>
      <c r="H130" s="10" t="str">
        <f ca="1">IFERROR(__xludf.DUMMYFUNCTION("""COMPUTED_VALUE"""),"Jalaj Rawat")</f>
        <v>Jalaj Rawat</v>
      </c>
    </row>
    <row r="131" spans="1:8">
      <c r="A131" s="10">
        <f ca="1">IFERROR(__xludf.DUMMYFUNCTION("""COMPUTED_VALUE"""),130)</f>
        <v>130</v>
      </c>
      <c r="B131" s="10" t="str">
        <f ca="1">IFERROR(__xludf.DUMMYFUNCTION("""COMPUTED_VALUE"""),"Indore City")</f>
        <v>Indore City</v>
      </c>
      <c r="C131" s="10" t="str">
        <f ca="1">IFERROR(__xludf.DUMMYFUNCTION("""COMPUTED_VALUE"""),"PRISHA LINEN")</f>
        <v>PRISHA LINEN</v>
      </c>
      <c r="D131" s="10">
        <f ca="1">IFERROR(__xludf.DUMMYFUNCTION("""COMPUTED_VALUE"""),1720780519)</f>
        <v>1720780519</v>
      </c>
      <c r="E131" s="12">
        <f ca="1">IFERROR(__xludf.DUMMYFUNCTION("""COMPUTED_VALUE"""),46286)</f>
        <v>46286</v>
      </c>
      <c r="F131" s="10"/>
      <c r="G131" s="10" t="str">
        <f ca="1">IFERROR(__xludf.DUMMYFUNCTION("""COMPUTED_VALUE"""),"B2C")</f>
        <v>B2C</v>
      </c>
      <c r="H131" s="10" t="str">
        <f ca="1">IFERROR(__xludf.DUMMYFUNCTION("""COMPUTED_VALUE"""),"Jalaj Rawat")</f>
        <v>Jalaj Rawat</v>
      </c>
    </row>
    <row r="132" spans="1:8">
      <c r="A132" s="10">
        <f ca="1">IFERROR(__xludf.DUMMYFUNCTION("""COMPUTED_VALUE"""),131)</f>
        <v>131</v>
      </c>
      <c r="B132" s="10" t="str">
        <f ca="1">IFERROR(__xludf.DUMMYFUNCTION("""COMPUTED_VALUE"""),"Indore City")</f>
        <v>Indore City</v>
      </c>
      <c r="C132" s="10" t="str">
        <f ca="1">IFERROR(__xludf.DUMMYFUNCTION("""COMPUTED_VALUE"""),"PRISHA LINEN")</f>
        <v>PRISHA LINEN</v>
      </c>
      <c r="D132" s="10">
        <f ca="1">IFERROR(__xludf.DUMMYFUNCTION("""COMPUTED_VALUE"""),1720780519)</f>
        <v>1720780519</v>
      </c>
      <c r="E132" s="12">
        <f ca="1">IFERROR(__xludf.DUMMYFUNCTION("""COMPUTED_VALUE"""),46286)</f>
        <v>46286</v>
      </c>
      <c r="F132" s="10"/>
      <c r="G132" s="10" t="str">
        <f ca="1">IFERROR(__xludf.DUMMYFUNCTION("""COMPUTED_VALUE"""),"B2C")</f>
        <v>B2C</v>
      </c>
      <c r="H132" s="10" t="str">
        <f ca="1">IFERROR(__xludf.DUMMYFUNCTION("""COMPUTED_VALUE"""),"Jalaj Rawat")</f>
        <v>Jalaj Rawat</v>
      </c>
    </row>
    <row r="133" spans="1:8">
      <c r="A133" s="10">
        <f ca="1">IFERROR(__xludf.DUMMYFUNCTION("""COMPUTED_VALUE"""),132)</f>
        <v>132</v>
      </c>
      <c r="B133" s="10" t="str">
        <f ca="1">IFERROR(__xludf.DUMMYFUNCTION("""COMPUTED_VALUE"""),"Indore City")</f>
        <v>Indore City</v>
      </c>
      <c r="C133" s="10" t="str">
        <f ca="1">IFERROR(__xludf.DUMMYFUNCTION("""COMPUTED_VALUE"""),"STATE BANK OF INDIA EDUCATION COLONY BRANCH")</f>
        <v>STATE BANK OF INDIA EDUCATION COLONY BRANCH</v>
      </c>
      <c r="D133" s="10">
        <f ca="1">IFERROR(__xludf.DUMMYFUNCTION("""COMPUTED_VALUE"""),1150852699)</f>
        <v>1150852699</v>
      </c>
      <c r="E133" s="12">
        <f ca="1">IFERROR(__xludf.DUMMYFUNCTION("""COMPUTED_VALUE"""),46286)</f>
        <v>46286</v>
      </c>
      <c r="F133" s="10"/>
      <c r="G133" s="10" t="str">
        <f ca="1">IFERROR(__xludf.DUMMYFUNCTION("""COMPUTED_VALUE"""),"B2C")</f>
        <v>B2C</v>
      </c>
      <c r="H133" s="10" t="str">
        <f ca="1">IFERROR(__xludf.DUMMYFUNCTION("""COMPUTED_VALUE"""),"Rahul Panchal")</f>
        <v>Rahul Panchal</v>
      </c>
    </row>
    <row r="134" spans="1:8">
      <c r="A134" s="10">
        <f ca="1">IFERROR(__xludf.DUMMYFUNCTION("""COMPUTED_VALUE"""),133)</f>
        <v>133</v>
      </c>
      <c r="B134" s="10" t="str">
        <f ca="1">IFERROR(__xludf.DUMMYFUNCTION("""COMPUTED_VALUE"""),"Indore City")</f>
        <v>Indore City</v>
      </c>
      <c r="C134" s="10" t="str">
        <f ca="1">IFERROR(__xludf.DUMMYFUNCTION("""COMPUTED_VALUE"""),"RISHABH LABORATORIES PRIVATE LIMITED")</f>
        <v>RISHABH LABORATORIES PRIVATE LIMITED</v>
      </c>
      <c r="D134" s="10">
        <f ca="1">IFERROR(__xludf.DUMMYFUNCTION("""COMPUTED_VALUE"""),1911538771)</f>
        <v>1911538771</v>
      </c>
      <c r="E134" s="12">
        <f ca="1">IFERROR(__xludf.DUMMYFUNCTION("""COMPUTED_VALUE"""),46289)</f>
        <v>46289</v>
      </c>
      <c r="F134" s="10"/>
      <c r="G134" s="10" t="str">
        <f ca="1">IFERROR(__xludf.DUMMYFUNCTION("""COMPUTED_VALUE"""),"B2C")</f>
        <v>B2C</v>
      </c>
      <c r="H134" s="10" t="str">
        <f ca="1">IFERROR(__xludf.DUMMYFUNCTION("""COMPUTED_VALUE"""),"Rahul Panchal")</f>
        <v>Rahul Panchal</v>
      </c>
    </row>
    <row r="135" spans="1:8">
      <c r="A135" s="10">
        <f ca="1">IFERROR(__xludf.DUMMYFUNCTION("""COMPUTED_VALUE"""),134)</f>
        <v>134</v>
      </c>
      <c r="B135" s="10" t="str">
        <f ca="1">IFERROR(__xludf.DUMMYFUNCTION("""COMPUTED_VALUE"""),"Indore City")</f>
        <v>Indore City</v>
      </c>
      <c r="C135" s="10" t="str">
        <f ca="1">IFERROR(__xludf.DUMMYFUNCTION("""COMPUTED_VALUE"""),"RISHABH LABORATORIES PRIVATE LIMITED")</f>
        <v>RISHABH LABORATORIES PRIVATE LIMITED</v>
      </c>
      <c r="D135" s="10">
        <f ca="1">IFERROR(__xludf.DUMMYFUNCTION("""COMPUTED_VALUE"""),1911538771)</f>
        <v>1911538771</v>
      </c>
      <c r="E135" s="12">
        <f ca="1">IFERROR(__xludf.DUMMYFUNCTION("""COMPUTED_VALUE"""),46289)</f>
        <v>46289</v>
      </c>
      <c r="F135" s="10"/>
      <c r="G135" s="10" t="str">
        <f ca="1">IFERROR(__xludf.DUMMYFUNCTION("""COMPUTED_VALUE"""),"B2C")</f>
        <v>B2C</v>
      </c>
      <c r="H135" s="10" t="str">
        <f ca="1">IFERROR(__xludf.DUMMYFUNCTION("""COMPUTED_VALUE"""),"Rahul Panchal")</f>
        <v>Rahul Panchal</v>
      </c>
    </row>
    <row r="136" spans="1:8">
      <c r="A136" s="10">
        <f ca="1">IFERROR(__xludf.DUMMYFUNCTION("""COMPUTED_VALUE"""),135)</f>
        <v>135</v>
      </c>
      <c r="B136" s="10" t="str">
        <f ca="1">IFERROR(__xludf.DUMMYFUNCTION("""COMPUTED_VALUE"""),"Indore City")</f>
        <v>Indore City</v>
      </c>
      <c r="C136" s="10" t="str">
        <f ca="1">IFERROR(__xludf.DUMMYFUNCTION("""COMPUTED_VALUE"""),"VIHAAN PACKAGING")</f>
        <v>VIHAAN PACKAGING</v>
      </c>
      <c r="D136" s="10">
        <f ca="1">IFERROR(__xludf.DUMMYFUNCTION("""COMPUTED_VALUE"""),1502887931)</f>
        <v>1502887931</v>
      </c>
      <c r="E136" s="12">
        <f ca="1">IFERROR(__xludf.DUMMYFUNCTION("""COMPUTED_VALUE"""),46289)</f>
        <v>46289</v>
      </c>
      <c r="F136" s="10"/>
      <c r="G136" s="10" t="str">
        <f ca="1">IFERROR(__xludf.DUMMYFUNCTION("""COMPUTED_VALUE"""),"B2C")</f>
        <v>B2C</v>
      </c>
      <c r="H136" s="10" t="str">
        <f ca="1">IFERROR(__xludf.DUMMYFUNCTION("""COMPUTED_VALUE"""),"Zuber Ahmed Khan")</f>
        <v>Zuber Ahmed Khan</v>
      </c>
    </row>
    <row r="137" spans="1:8">
      <c r="A137" s="10">
        <f ca="1">IFERROR(__xludf.DUMMYFUNCTION("""COMPUTED_VALUE"""),136)</f>
        <v>136</v>
      </c>
      <c r="B137" s="10" t="str">
        <f ca="1">IFERROR(__xludf.DUMMYFUNCTION("""COMPUTED_VALUE"""),"Indore City")</f>
        <v>Indore City</v>
      </c>
      <c r="C137" s="10" t="str">
        <f ca="1">IFERROR(__xludf.DUMMYFUNCTION("""COMPUTED_VALUE"""),"VIHAAN PACKAGING")</f>
        <v>VIHAAN PACKAGING</v>
      </c>
      <c r="D137" s="10">
        <f ca="1">IFERROR(__xludf.DUMMYFUNCTION("""COMPUTED_VALUE"""),1502887931)</f>
        <v>1502887931</v>
      </c>
      <c r="E137" s="12">
        <f ca="1">IFERROR(__xludf.DUMMYFUNCTION("""COMPUTED_VALUE"""),46289)</f>
        <v>46289</v>
      </c>
      <c r="F137" s="10"/>
      <c r="G137" s="10" t="str">
        <f ca="1">IFERROR(__xludf.DUMMYFUNCTION("""COMPUTED_VALUE"""),"B2C")</f>
        <v>B2C</v>
      </c>
      <c r="H137" s="10" t="str">
        <f ca="1">IFERROR(__xludf.DUMMYFUNCTION("""COMPUTED_VALUE"""),"Zuber Ahmed Khan")</f>
        <v>Zuber Ahmed Khan</v>
      </c>
    </row>
    <row r="138" spans="1:8">
      <c r="A138" s="10">
        <f ca="1">IFERROR(__xludf.DUMMYFUNCTION("""COMPUTED_VALUE"""),137)</f>
        <v>137</v>
      </c>
      <c r="B138" s="10" t="str">
        <f ca="1">IFERROR(__xludf.DUMMYFUNCTION("""COMPUTED_VALUE"""),"Indore City")</f>
        <v>Indore City</v>
      </c>
      <c r="C138" s="10" t="str">
        <f ca="1">IFERROR(__xludf.DUMMYFUNCTION("""COMPUTED_VALUE"""),"BADEKA TELE SHOP")</f>
        <v>BADEKA TELE SHOP</v>
      </c>
      <c r="D138" s="10">
        <f ca="1">IFERROR(__xludf.DUMMYFUNCTION("""COMPUTED_VALUE"""),1696624180)</f>
        <v>1696624180</v>
      </c>
      <c r="E138" s="12">
        <f ca="1">IFERROR(__xludf.DUMMYFUNCTION("""COMPUTED_VALUE"""),46293)</f>
        <v>46293</v>
      </c>
      <c r="F138" s="10"/>
      <c r="G138" s="10" t="str">
        <f ca="1">IFERROR(__xludf.DUMMYFUNCTION("""COMPUTED_VALUE"""),"B2C")</f>
        <v>B2C</v>
      </c>
      <c r="H138" s="10" t="str">
        <f ca="1">IFERROR(__xludf.DUMMYFUNCTION("""COMPUTED_VALUE"""),"Rahul Panchal")</f>
        <v>Rahul Panchal</v>
      </c>
    </row>
    <row r="139" spans="1:8">
      <c r="A139" s="10">
        <f ca="1">IFERROR(__xludf.DUMMYFUNCTION("""COMPUTED_VALUE"""),138)</f>
        <v>138</v>
      </c>
      <c r="B139" s="10" t="str">
        <f ca="1">IFERROR(__xludf.DUMMYFUNCTION("""COMPUTED_VALUE"""),"Indore City")</f>
        <v>Indore City</v>
      </c>
      <c r="C139" s="10" t="str">
        <f ca="1">IFERROR(__xludf.DUMMYFUNCTION("""COMPUTED_VALUE"""),"CAMPUS MALL PVT LTD.")</f>
        <v>CAMPUS MALL PVT LTD.</v>
      </c>
      <c r="D139" s="10">
        <f ca="1">IFERROR(__xludf.DUMMYFUNCTION("""COMPUTED_VALUE"""),1653695280)</f>
        <v>1653695280</v>
      </c>
      <c r="E139" s="12">
        <f ca="1">IFERROR(__xludf.DUMMYFUNCTION("""COMPUTED_VALUE"""),46293)</f>
        <v>46293</v>
      </c>
      <c r="F139" s="10"/>
      <c r="G139" s="10" t="str">
        <f ca="1">IFERROR(__xludf.DUMMYFUNCTION("""COMPUTED_VALUE"""),"B2C")</f>
        <v>B2C</v>
      </c>
      <c r="H139" s="10" t="str">
        <f ca="1">IFERROR(__xludf.DUMMYFUNCTION("""COMPUTED_VALUE"""),"Zuber Ahmed Khan")</f>
        <v>Zuber Ahmed Khan</v>
      </c>
    </row>
    <row r="140" spans="1:8">
      <c r="A140" s="10">
        <f ca="1">IFERROR(__xludf.DUMMYFUNCTION("""COMPUTED_VALUE"""),139)</f>
        <v>139</v>
      </c>
      <c r="B140" s="10" t="str">
        <f ca="1">IFERROR(__xludf.DUMMYFUNCTION("""COMPUTED_VALUE"""),"Indore City")</f>
        <v>Indore City</v>
      </c>
      <c r="C140" s="10" t="str">
        <f ca="1">IFERROR(__xludf.DUMMYFUNCTION("""COMPUTED_VALUE"""),"CAMPUS MALL PVT LTD.")</f>
        <v>CAMPUS MALL PVT LTD.</v>
      </c>
      <c r="D140" s="10">
        <f ca="1">IFERROR(__xludf.DUMMYFUNCTION("""COMPUTED_VALUE"""),1653695280)</f>
        <v>1653695280</v>
      </c>
      <c r="E140" s="12">
        <f ca="1">IFERROR(__xludf.DUMMYFUNCTION("""COMPUTED_VALUE"""),46293)</f>
        <v>46293</v>
      </c>
      <c r="F140" s="10"/>
      <c r="G140" s="10" t="str">
        <f ca="1">IFERROR(__xludf.DUMMYFUNCTION("""COMPUTED_VALUE"""),"B2C")</f>
        <v>B2C</v>
      </c>
      <c r="H140" s="10" t="str">
        <f ca="1">IFERROR(__xludf.DUMMYFUNCTION("""COMPUTED_VALUE"""),"Zuber Ahmed Khan")</f>
        <v>Zuber Ahmed Khan</v>
      </c>
    </row>
    <row r="141" spans="1:8">
      <c r="A141" s="10">
        <f ca="1">IFERROR(__xludf.DUMMYFUNCTION("""COMPUTED_VALUE"""),140)</f>
        <v>140</v>
      </c>
      <c r="B141" s="10" t="str">
        <f ca="1">IFERROR(__xludf.DUMMYFUNCTION("""COMPUTED_VALUE"""),"Indore City")</f>
        <v>Indore City</v>
      </c>
      <c r="C141" s="10" t="str">
        <f ca="1">IFERROR(__xludf.DUMMYFUNCTION("""COMPUTED_VALUE"""),"DR NAMITA CHOUHAN")</f>
        <v>DR NAMITA CHOUHAN</v>
      </c>
      <c r="D141" s="10">
        <f ca="1">IFERROR(__xludf.DUMMYFUNCTION("""COMPUTED_VALUE"""),1371997835)</f>
        <v>1371997835</v>
      </c>
      <c r="E141" s="12">
        <f ca="1">IFERROR(__xludf.DUMMYFUNCTION("""COMPUTED_VALUE"""),46293)</f>
        <v>46293</v>
      </c>
      <c r="F141" s="10"/>
      <c r="G141" s="10" t="str">
        <f ca="1">IFERROR(__xludf.DUMMYFUNCTION("""COMPUTED_VALUE"""),"B2C")</f>
        <v>B2C</v>
      </c>
      <c r="H141" s="10" t="str">
        <f ca="1">IFERROR(__xludf.DUMMYFUNCTION("""COMPUTED_VALUE"""),"Zuber Ahmed Khan")</f>
        <v>Zuber Ahmed Khan</v>
      </c>
    </row>
    <row r="142" spans="1:8">
      <c r="A142" s="10">
        <f ca="1">IFERROR(__xludf.DUMMYFUNCTION("""COMPUTED_VALUE"""),141)</f>
        <v>141</v>
      </c>
      <c r="B142" s="10" t="str">
        <f ca="1">IFERROR(__xludf.DUMMYFUNCTION("""COMPUTED_VALUE"""),"Indore City")</f>
        <v>Indore City</v>
      </c>
      <c r="C142" s="10" t="str">
        <f ca="1">IFERROR(__xludf.DUMMYFUNCTION("""COMPUTED_VALUE"""),"KALACHITRA")</f>
        <v>KALACHITRA</v>
      </c>
      <c r="D142" s="10">
        <f ca="1">IFERROR(__xludf.DUMMYFUNCTION("""COMPUTED_VALUE"""),1155195180)</f>
        <v>1155195180</v>
      </c>
      <c r="E142" s="12">
        <f ca="1">IFERROR(__xludf.DUMMYFUNCTION("""COMPUTED_VALUE"""),46293)</f>
        <v>46293</v>
      </c>
      <c r="F142" s="10"/>
      <c r="G142" s="10" t="str">
        <f ca="1">IFERROR(__xludf.DUMMYFUNCTION("""COMPUTED_VALUE"""),"B2C")</f>
        <v>B2C</v>
      </c>
      <c r="H142" s="10" t="str">
        <f ca="1">IFERROR(__xludf.DUMMYFUNCTION("""COMPUTED_VALUE"""),"Rahul Panchal")</f>
        <v>Rahul Panchal</v>
      </c>
    </row>
    <row r="143" spans="1:8">
      <c r="A143" s="10">
        <f ca="1">IFERROR(__xludf.DUMMYFUNCTION("""COMPUTED_VALUE"""),142)</f>
        <v>142</v>
      </c>
      <c r="B143" s="10" t="str">
        <f ca="1">IFERROR(__xludf.DUMMYFUNCTION("""COMPUTED_VALUE"""),"Indore City")</f>
        <v>Indore City</v>
      </c>
      <c r="C143" s="10" t="str">
        <f ca="1">IFERROR(__xludf.DUMMYFUNCTION("""COMPUTED_VALUE"""),"luckshree traders")</f>
        <v>luckshree traders</v>
      </c>
      <c r="D143" s="10">
        <f ca="1">IFERROR(__xludf.DUMMYFUNCTION("""COMPUTED_VALUE"""),1333237578)</f>
        <v>1333237578</v>
      </c>
      <c r="E143" s="12">
        <f ca="1">IFERROR(__xludf.DUMMYFUNCTION("""COMPUTED_VALUE"""),46293)</f>
        <v>46293</v>
      </c>
      <c r="F143" s="10"/>
      <c r="G143" s="10" t="str">
        <f ca="1">IFERROR(__xludf.DUMMYFUNCTION("""COMPUTED_VALUE"""),"B2C")</f>
        <v>B2C</v>
      </c>
      <c r="H143" s="10" t="str">
        <f ca="1">IFERROR(__xludf.DUMMYFUNCTION("""COMPUTED_VALUE"""),"Jalaj Rawat")</f>
        <v>Jalaj Rawat</v>
      </c>
    </row>
    <row r="144" spans="1:8">
      <c r="A144" s="10">
        <f ca="1">IFERROR(__xludf.DUMMYFUNCTION("""COMPUTED_VALUE"""),143)</f>
        <v>143</v>
      </c>
      <c r="B144" s="10" t="str">
        <f ca="1">IFERROR(__xludf.DUMMYFUNCTION("""COMPUTED_VALUE"""),"Indore City")</f>
        <v>Indore City</v>
      </c>
      <c r="C144" s="10" t="str">
        <f ca="1">IFERROR(__xludf.DUMMYFUNCTION("""COMPUTED_VALUE"""),"SDJ ENTERPRISES")</f>
        <v>SDJ ENTERPRISES</v>
      </c>
      <c r="D144" s="10">
        <f ca="1">IFERROR(__xludf.DUMMYFUNCTION("""COMPUTED_VALUE"""),1834308501)</f>
        <v>1834308501</v>
      </c>
      <c r="E144" s="12">
        <f ca="1">IFERROR(__xludf.DUMMYFUNCTION("""COMPUTED_VALUE"""),46294)</f>
        <v>46294</v>
      </c>
      <c r="F144" s="10"/>
      <c r="G144" s="10" t="str">
        <f ca="1">IFERROR(__xludf.DUMMYFUNCTION("""COMPUTED_VALUE"""),"B2C")</f>
        <v>B2C</v>
      </c>
      <c r="H144" s="10" t="str">
        <f ca="1">IFERROR(__xludf.DUMMYFUNCTION("""COMPUTED_VALUE"""),"Jalaj Rawat")</f>
        <v>Jalaj Rawat</v>
      </c>
    </row>
    <row r="145" spans="1:8">
      <c r="A145" s="10">
        <f ca="1">IFERROR(__xludf.DUMMYFUNCTION("""COMPUTED_VALUE"""),144)</f>
        <v>144</v>
      </c>
      <c r="B145" s="10" t="str">
        <f ca="1">IFERROR(__xludf.DUMMYFUNCTION("""COMPUTED_VALUE"""),"Indore City")</f>
        <v>Indore City</v>
      </c>
      <c r="C145" s="10" t="str">
        <f ca="1">IFERROR(__xludf.DUMMYFUNCTION("""COMPUTED_VALUE"""),"SDJ ENTERPRISES")</f>
        <v>SDJ ENTERPRISES</v>
      </c>
      <c r="D145" s="10">
        <f ca="1">IFERROR(__xludf.DUMMYFUNCTION("""COMPUTED_VALUE"""),1834308501)</f>
        <v>1834308501</v>
      </c>
      <c r="E145" s="12">
        <f ca="1">IFERROR(__xludf.DUMMYFUNCTION("""COMPUTED_VALUE"""),46294)</f>
        <v>46294</v>
      </c>
      <c r="F145" s="10"/>
      <c r="G145" s="10" t="str">
        <f ca="1">IFERROR(__xludf.DUMMYFUNCTION("""COMPUTED_VALUE"""),"B2C")</f>
        <v>B2C</v>
      </c>
      <c r="H145" s="10" t="str">
        <f ca="1">IFERROR(__xludf.DUMMYFUNCTION("""COMPUTED_VALUE"""),"Jalaj Rawat")</f>
        <v>Jalaj Rawat</v>
      </c>
    </row>
    <row r="146" spans="1:8">
      <c r="A146" s="10">
        <f ca="1">IFERROR(__xludf.DUMMYFUNCTION("""COMPUTED_VALUE"""),1)</f>
        <v>1</v>
      </c>
      <c r="B146" s="10" t="str">
        <f ca="1">IFERROR(__xludf.DUMMYFUNCTION("""COMPUTED_VALUE"""),"Indore MFL")</f>
        <v>Indore MFL</v>
      </c>
      <c r="C146" s="10" t="str">
        <f ca="1">IFERROR(__xludf.DUMMYFUNCTION("""COMPUTED_VALUE"""),"SBI AMCC DEWAS")</f>
        <v>SBI AMCC DEWAS</v>
      </c>
      <c r="D146" s="10">
        <f ca="1">IFERROR(__xludf.DUMMYFUNCTION("""COMPUTED_VALUE"""),1143151756)</f>
        <v>1143151756</v>
      </c>
      <c r="E146" s="12">
        <f ca="1">IFERROR(__xludf.DUMMYFUNCTION("""COMPUTED_VALUE"""),46251)</f>
        <v>46251</v>
      </c>
      <c r="F146" s="10" t="str">
        <f ca="1">IFERROR(__xludf.DUMMYFUNCTION("""COMPUTED_VALUE"""),"LETTERS")</f>
        <v>LETTERS</v>
      </c>
      <c r="G146" s="10" t="str">
        <f ca="1">IFERROR(__xludf.DUMMYFUNCTION("""COMPUTED_VALUE"""),"B2C")</f>
        <v>B2C</v>
      </c>
      <c r="H146" s="10" t="str">
        <f ca="1">IFERROR(__xludf.DUMMYFUNCTION("""COMPUTED_VALUE"""),"SANTOSH VERMA")</f>
        <v>SANTOSH VERMA</v>
      </c>
    </row>
    <row r="147" spans="1:8">
      <c r="A147" s="10">
        <f ca="1">IFERROR(__xludf.DUMMYFUNCTION("""COMPUTED_VALUE"""),2)</f>
        <v>2</v>
      </c>
      <c r="B147" s="10" t="str">
        <f ca="1">IFERROR(__xludf.DUMMYFUNCTION("""COMPUTED_VALUE"""),"Indore MFL")</f>
        <v>Indore MFL</v>
      </c>
      <c r="C147" s="10" t="str">
        <f ca="1">IFERROR(__xludf.DUMMYFUNCTION("""COMPUTED_VALUE"""),"GURUKRIPA FOODS")</f>
        <v>GURUKRIPA FOODS</v>
      </c>
      <c r="D147" s="10">
        <f ca="1">IFERROR(__xludf.DUMMYFUNCTION("""COMPUTED_VALUE"""),1724127341)</f>
        <v>1724127341</v>
      </c>
      <c r="E147" s="12">
        <f ca="1">IFERROR(__xludf.DUMMYFUNCTION("""COMPUTED_VALUE"""),46248)</f>
        <v>46248</v>
      </c>
      <c r="F147" s="10" t="str">
        <f ca="1">IFERROR(__xludf.DUMMYFUNCTION("""COMPUTED_VALUE"""),"FMCG")</f>
        <v>FMCG</v>
      </c>
      <c r="G147" s="10" t="str">
        <f ca="1">IFERROR(__xludf.DUMMYFUNCTION("""COMPUTED_VALUE"""),"B2C")</f>
        <v>B2C</v>
      </c>
      <c r="H147" s="10" t="str">
        <f ca="1">IFERROR(__xludf.DUMMYFUNCTION("""COMPUTED_VALUE"""),"BRIJESH SHRIVAS")</f>
        <v>BRIJESH SHRIVAS</v>
      </c>
    </row>
    <row r="148" spans="1:8">
      <c r="A148" s="10">
        <f ca="1">IFERROR(__xludf.DUMMYFUNCTION("""COMPUTED_VALUE"""),3)</f>
        <v>3</v>
      </c>
      <c r="B148" s="10" t="str">
        <f ca="1">IFERROR(__xludf.DUMMYFUNCTION("""COMPUTED_VALUE"""),"Indore MFL")</f>
        <v>Indore MFL</v>
      </c>
      <c r="C148" s="10" t="str">
        <f ca="1">IFERROR(__xludf.DUMMYFUNCTION("""COMPUTED_VALUE"""),"KASHISH SAREE")</f>
        <v>KASHISH SAREE</v>
      </c>
      <c r="D148" s="10">
        <f ca="1">IFERROR(__xludf.DUMMYFUNCTION("""COMPUTED_VALUE"""),1176938537)</f>
        <v>1176938537</v>
      </c>
      <c r="E148" s="12">
        <f ca="1">IFERROR(__xludf.DUMMYFUNCTION("""COMPUTED_VALUE"""),46246)</f>
        <v>46246</v>
      </c>
      <c r="F148" s="10" t="str">
        <f ca="1">IFERROR(__xludf.DUMMYFUNCTION("""COMPUTED_VALUE"""),"FASHION ")</f>
        <v xml:space="preserve">FASHION </v>
      </c>
      <c r="G148" s="10" t="str">
        <f ca="1">IFERROR(__xludf.DUMMYFUNCTION("""COMPUTED_VALUE"""),"B2C")</f>
        <v>B2C</v>
      </c>
      <c r="H148" s="10" t="str">
        <f ca="1">IFERROR(__xludf.DUMMYFUNCTION("""COMPUTED_VALUE"""),"SANTOSH VERMA")</f>
        <v>SANTOSH VERMA</v>
      </c>
    </row>
    <row r="149" spans="1:8">
      <c r="A149" s="10">
        <f ca="1">IFERROR(__xludf.DUMMYFUNCTION("""COMPUTED_VALUE"""),4)</f>
        <v>4</v>
      </c>
      <c r="B149" s="10" t="str">
        <f ca="1">IFERROR(__xludf.DUMMYFUNCTION("""COMPUTED_VALUE"""),"Indore MFL")</f>
        <v>Indore MFL</v>
      </c>
      <c r="C149" s="10" t="str">
        <f ca="1">IFERROR(__xludf.DUMMYFUNCTION("""COMPUTED_VALUE"""),"SA HERBAL BIOACTIVE LLP")</f>
        <v>SA HERBAL BIOACTIVE LLP</v>
      </c>
      <c r="D149" s="10">
        <f ca="1">IFERROR(__xludf.DUMMYFUNCTION("""COMPUTED_VALUE"""),1646616392)</f>
        <v>1646616392</v>
      </c>
      <c r="E149" s="12">
        <f ca="1">IFERROR(__xludf.DUMMYFUNCTION("""COMPUTED_VALUE"""),46246)</f>
        <v>46246</v>
      </c>
      <c r="F149" s="10" t="str">
        <f ca="1">IFERROR(__xludf.DUMMYFUNCTION("""COMPUTED_VALUE"""),"HERBVAL PRODUCTS")</f>
        <v>HERBVAL PRODUCTS</v>
      </c>
      <c r="G149" s="10" t="str">
        <f ca="1">IFERROR(__xludf.DUMMYFUNCTION("""COMPUTED_VALUE"""),"B2C")</f>
        <v>B2C</v>
      </c>
      <c r="H149" s="10" t="str">
        <f ca="1">IFERROR(__xludf.DUMMYFUNCTION("""COMPUTED_VALUE"""),"BRIJESH SHRIVAS")</f>
        <v>BRIJESH SHRIVAS</v>
      </c>
    </row>
    <row r="150" spans="1:8">
      <c r="A150" s="10">
        <f ca="1">IFERROR(__xludf.DUMMYFUNCTION("""COMPUTED_VALUE"""),5)</f>
        <v>5</v>
      </c>
      <c r="B150" s="10" t="str">
        <f ca="1">IFERROR(__xludf.DUMMYFUNCTION("""COMPUTED_VALUE"""),"Indore MFL")</f>
        <v>Indore MFL</v>
      </c>
      <c r="C150" s="10" t="str">
        <f ca="1">IFERROR(__xludf.DUMMYFUNCTION("""COMPUTED_VALUE"""),"BHUMI AGRO INDUSTRIES")</f>
        <v>BHUMI AGRO INDUSTRIES</v>
      </c>
      <c r="D150" s="10">
        <f ca="1">IFERROR(__xludf.DUMMYFUNCTION("""COMPUTED_VALUE"""),1761937114)</f>
        <v>1761937114</v>
      </c>
      <c r="E150" s="12">
        <f ca="1">IFERROR(__xludf.DUMMYFUNCTION("""COMPUTED_VALUE"""),46239)</f>
        <v>46239</v>
      </c>
      <c r="F150" s="10" t="str">
        <f ca="1">IFERROR(__xludf.DUMMYFUNCTION("""COMPUTED_VALUE"""),"LETTERS")</f>
        <v>LETTERS</v>
      </c>
      <c r="G150" s="10" t="str">
        <f ca="1">IFERROR(__xludf.DUMMYFUNCTION("""COMPUTED_VALUE"""),"B2C")</f>
        <v>B2C</v>
      </c>
      <c r="H150" s="10" t="str">
        <f ca="1">IFERROR(__xludf.DUMMYFUNCTION("""COMPUTED_VALUE"""),"SANTOSH VERMA")</f>
        <v>SANTOSH VERMA</v>
      </c>
    </row>
    <row r="151" spans="1:8">
      <c r="A151" s="10">
        <f ca="1">IFERROR(__xludf.DUMMYFUNCTION("""COMPUTED_VALUE"""),6)</f>
        <v>6</v>
      </c>
      <c r="B151" s="10" t="str">
        <f ca="1">IFERROR(__xludf.DUMMYFUNCTION("""COMPUTED_VALUE"""),"Indore MFL")</f>
        <v>Indore MFL</v>
      </c>
      <c r="C151" s="10" t="str">
        <f ca="1">IFERROR(__xludf.DUMMYFUNCTION("""COMPUTED_VALUE"""),"CENTRAL BANK OF INDIA")</f>
        <v>CENTRAL BANK OF INDIA</v>
      </c>
      <c r="D151" s="10">
        <f ca="1">IFERROR(__xludf.DUMMYFUNCTION("""COMPUTED_VALUE"""),1512057439)</f>
        <v>1512057439</v>
      </c>
      <c r="E151" s="12">
        <f ca="1">IFERROR(__xludf.DUMMYFUNCTION("""COMPUTED_VALUE"""),46232)</f>
        <v>46232</v>
      </c>
      <c r="F151" s="10" t="str">
        <f ca="1">IFERROR(__xludf.DUMMYFUNCTION("""COMPUTED_VALUE"""),"HERBVAL PRODUCTS")</f>
        <v>HERBVAL PRODUCTS</v>
      </c>
      <c r="G151" s="10" t="str">
        <f ca="1">IFERROR(__xludf.DUMMYFUNCTION("""COMPUTED_VALUE"""),"B2C")</f>
        <v>B2C</v>
      </c>
      <c r="H151" s="10" t="str">
        <f ca="1">IFERROR(__xludf.DUMMYFUNCTION("""COMPUTED_VALUE"""),"BRIJESH SHRIVAS")</f>
        <v>BRIJESH SHRIVAS</v>
      </c>
    </row>
    <row r="152" spans="1:8">
      <c r="A152" s="10">
        <f ca="1">IFERROR(__xludf.DUMMYFUNCTION("""COMPUTED_VALUE"""),7)</f>
        <v>7</v>
      </c>
      <c r="B152" s="10" t="str">
        <f ca="1">IFERROR(__xludf.DUMMYFUNCTION("""COMPUTED_VALUE"""),"Indore MFL")</f>
        <v>Indore MFL</v>
      </c>
      <c r="C152" s="10" t="str">
        <f ca="1">IFERROR(__xludf.DUMMYFUNCTION("""COMPUTED_VALUE"""),"BHUMI AGRO INDUSTRIES")</f>
        <v>BHUMI AGRO INDUSTRIES</v>
      </c>
      <c r="D152" s="10">
        <f ca="1">IFERROR(__xludf.DUMMYFUNCTION("""COMPUTED_VALUE"""),1761937114)</f>
        <v>1761937114</v>
      </c>
      <c r="E152" s="12">
        <f ca="1">IFERROR(__xludf.DUMMYFUNCTION("""COMPUTED_VALUE"""),46226)</f>
        <v>46226</v>
      </c>
      <c r="F152" s="10" t="str">
        <f ca="1">IFERROR(__xludf.DUMMYFUNCTION("""COMPUTED_VALUE"""),"MEDICINES")</f>
        <v>MEDICINES</v>
      </c>
      <c r="G152" s="10" t="str">
        <f ca="1">IFERROR(__xludf.DUMMYFUNCTION("""COMPUTED_VALUE"""),"B2C")</f>
        <v>B2C</v>
      </c>
      <c r="H152" s="10" t="str">
        <f ca="1">IFERROR(__xludf.DUMMYFUNCTION("""COMPUTED_VALUE"""),"SANTOSH VERMA")</f>
        <v>SANTOSH VERMA</v>
      </c>
    </row>
    <row r="153" spans="1:8">
      <c r="A153" s="10">
        <f ca="1">IFERROR(__xludf.DUMMYFUNCTION("""COMPUTED_VALUE"""),8)</f>
        <v>8</v>
      </c>
      <c r="B153" s="10" t="str">
        <f ca="1">IFERROR(__xludf.DUMMYFUNCTION("""COMPUTED_VALUE"""),"Indore MFL")</f>
        <v>Indore MFL</v>
      </c>
      <c r="C153" s="10" t="str">
        <f ca="1">IFERROR(__xludf.DUMMYFUNCTION("""COMPUTED_VALUE"""),"GOVIRA")</f>
        <v>GOVIRA</v>
      </c>
      <c r="D153" s="10">
        <f ca="1">IFERROR(__xludf.DUMMYFUNCTION("""COMPUTED_VALUE"""),1495342035)</f>
        <v>1495342035</v>
      </c>
      <c r="E153" s="12">
        <f ca="1">IFERROR(__xludf.DUMMYFUNCTION("""COMPUTED_VALUE"""),46221)</f>
        <v>46221</v>
      </c>
      <c r="F153" s="10" t="str">
        <f ca="1">IFERROR(__xludf.DUMMYFUNCTION("""COMPUTED_VALUE"""),"LETTERS")</f>
        <v>LETTERS</v>
      </c>
      <c r="G153" s="10" t="str">
        <f ca="1">IFERROR(__xludf.DUMMYFUNCTION("""COMPUTED_VALUE"""),"B2C")</f>
        <v>B2C</v>
      </c>
      <c r="H153" s="10" t="str">
        <f ca="1">IFERROR(__xludf.DUMMYFUNCTION("""COMPUTED_VALUE"""),"SANTOSH VERMA")</f>
        <v>SANTOSH VERMA</v>
      </c>
    </row>
    <row r="154" spans="1:8">
      <c r="A154" s="10">
        <f ca="1">IFERROR(__xludf.DUMMYFUNCTION("""COMPUTED_VALUE"""),9)</f>
        <v>9</v>
      </c>
      <c r="B154" s="10" t="str">
        <f ca="1">IFERROR(__xludf.DUMMYFUNCTION("""COMPUTED_VALUE"""),"Indore MFL")</f>
        <v>Indore MFL</v>
      </c>
      <c r="C154" s="10" t="str">
        <f ca="1">IFERROR(__xludf.DUMMYFUNCTION("""COMPUTED_VALUE"""),"state bank of india")</f>
        <v>state bank of india</v>
      </c>
      <c r="D154" s="10">
        <f ca="1">IFERROR(__xludf.DUMMYFUNCTION("""COMPUTED_VALUE"""),1638295373)</f>
        <v>1638295373</v>
      </c>
      <c r="E154" s="12">
        <f ca="1">IFERROR(__xludf.DUMMYFUNCTION("""COMPUTED_VALUE"""),46220)</f>
        <v>46220</v>
      </c>
      <c r="F154" s="10" t="str">
        <f ca="1">IFERROR(__xludf.DUMMYFUNCTION("""COMPUTED_VALUE"""),"LETTERS")</f>
        <v>LETTERS</v>
      </c>
      <c r="G154" s="10" t="str">
        <f ca="1">IFERROR(__xludf.DUMMYFUNCTION("""COMPUTED_VALUE"""),"B2C")</f>
        <v>B2C</v>
      </c>
      <c r="H154" s="10" t="str">
        <f ca="1">IFERROR(__xludf.DUMMYFUNCTION("""COMPUTED_VALUE"""),"BRIJESH SHRIVAS")</f>
        <v>BRIJESH SHRIVAS</v>
      </c>
    </row>
    <row r="155" spans="1:8">
      <c r="A155" s="10">
        <f ca="1">IFERROR(__xludf.DUMMYFUNCTION("""COMPUTED_VALUE"""),10)</f>
        <v>10</v>
      </c>
      <c r="B155" s="10" t="str">
        <f ca="1">IFERROR(__xludf.DUMMYFUNCTION("""COMPUTED_VALUE"""),"Indore MFL")</f>
        <v>Indore MFL</v>
      </c>
      <c r="C155" s="10" t="str">
        <f ca="1">IFERROR(__xludf.DUMMYFUNCTION("""COMPUTED_VALUE"""),"INNOVATIVE ENTERPRISES")</f>
        <v>INNOVATIVE ENTERPRISES</v>
      </c>
      <c r="D155" s="10">
        <f ca="1">IFERROR(__xludf.DUMMYFUNCTION("""COMPUTED_VALUE"""),1819752277)</f>
        <v>1819752277</v>
      </c>
      <c r="E155" s="12">
        <f ca="1">IFERROR(__xludf.DUMMYFUNCTION("""COMPUTED_VALUE"""),46203)</f>
        <v>46203</v>
      </c>
      <c r="F155" s="10" t="str">
        <f ca="1">IFERROR(__xludf.DUMMYFUNCTION("""COMPUTED_VALUE"""),"SPORTS PRODUCTS")</f>
        <v>SPORTS PRODUCTS</v>
      </c>
      <c r="G155" s="10" t="str">
        <f ca="1">IFERROR(__xludf.DUMMYFUNCTION("""COMPUTED_VALUE"""),"B2C")</f>
        <v>B2C</v>
      </c>
      <c r="H155" s="10" t="str">
        <f ca="1">IFERROR(__xludf.DUMMYFUNCTION("""COMPUTED_VALUE"""),"SANTOSH VERMA")</f>
        <v>SANTOSH VERMA</v>
      </c>
    </row>
    <row r="156" spans="1:8">
      <c r="A156" s="10">
        <f ca="1">IFERROR(__xludf.DUMMYFUNCTION("""COMPUTED_VALUE"""),11)</f>
        <v>11</v>
      </c>
      <c r="B156" s="10" t="str">
        <f ca="1">IFERROR(__xludf.DUMMYFUNCTION("""COMPUTED_VALUE"""),"Indore MFL")</f>
        <v>Indore MFL</v>
      </c>
      <c r="C156" s="10" t="str">
        <f ca="1">IFERROR(__xludf.DUMMYFUNCTION("""COMPUTED_VALUE"""),"Rahul Khichi")</f>
        <v>Rahul Khichi</v>
      </c>
      <c r="D156" s="10">
        <f ca="1">IFERROR(__xludf.DUMMYFUNCTION("""COMPUTED_VALUE"""),1304572708)</f>
        <v>1304572708</v>
      </c>
      <c r="E156" s="12">
        <f ca="1">IFERROR(__xludf.DUMMYFUNCTION("""COMPUTED_VALUE"""),46197)</f>
        <v>46197</v>
      </c>
      <c r="F156" s="10" t="str">
        <f ca="1">IFERROR(__xludf.DUMMYFUNCTION("""COMPUTED_VALUE"""),"MACHINE GOODS")</f>
        <v>MACHINE GOODS</v>
      </c>
      <c r="G156" s="10" t="str">
        <f ca="1">IFERROR(__xludf.DUMMYFUNCTION("""COMPUTED_VALUE"""),"B2C")</f>
        <v>B2C</v>
      </c>
      <c r="H156" s="10" t="str">
        <f ca="1">IFERROR(__xludf.DUMMYFUNCTION("""COMPUTED_VALUE"""),"SANTOSH VERMA")</f>
        <v>SANTOSH VERMA</v>
      </c>
    </row>
    <row r="157" spans="1:8">
      <c r="A157" s="10">
        <f ca="1">IFERROR(__xludf.DUMMYFUNCTION("""COMPUTED_VALUE"""),12)</f>
        <v>12</v>
      </c>
      <c r="B157" s="10" t="str">
        <f ca="1">IFERROR(__xludf.DUMMYFUNCTION("""COMPUTED_VALUE"""),"Indore MFL")</f>
        <v>Indore MFL</v>
      </c>
      <c r="C157" s="10" t="str">
        <f ca="1">IFERROR(__xludf.DUMMYFUNCTION("""COMPUTED_VALUE"""),"LIC OF INDIA")</f>
        <v>LIC OF INDIA</v>
      </c>
      <c r="D157" s="10">
        <f ca="1">IFERROR(__xludf.DUMMYFUNCTION("""COMPUTED_VALUE"""),1926099029)</f>
        <v>1926099029</v>
      </c>
      <c r="E157" s="12">
        <f ca="1">IFERROR(__xludf.DUMMYFUNCTION("""COMPUTED_VALUE"""),46192)</f>
        <v>46192</v>
      </c>
      <c r="F157" s="10" t="str">
        <f ca="1">IFERROR(__xludf.DUMMYFUNCTION("""COMPUTED_VALUE"""),"LETTERS")</f>
        <v>LETTERS</v>
      </c>
      <c r="G157" s="10" t="str">
        <f ca="1">IFERROR(__xludf.DUMMYFUNCTION("""COMPUTED_VALUE"""),"B2C")</f>
        <v>B2C</v>
      </c>
      <c r="H157" s="10" t="str">
        <f ca="1">IFERROR(__xludf.DUMMYFUNCTION("""COMPUTED_VALUE"""),"BRIJESH SHRIVAS")</f>
        <v>BRIJESH SHRIVAS</v>
      </c>
    </row>
    <row r="158" spans="1:8">
      <c r="A158" s="10">
        <f ca="1">IFERROR(__xludf.DUMMYFUNCTION("""COMPUTED_VALUE"""),13)</f>
        <v>13</v>
      </c>
      <c r="B158" s="10" t="str">
        <f ca="1">IFERROR(__xludf.DUMMYFUNCTION("""COMPUTED_VALUE"""),"Indore MFL")</f>
        <v>Indore MFL</v>
      </c>
      <c r="C158" s="10" t="str">
        <f ca="1">IFERROR(__xludf.DUMMYFUNCTION("""COMPUTED_VALUE"""),"Gupta enterprises")</f>
        <v>Gupta enterprises</v>
      </c>
      <c r="D158" s="10">
        <f ca="1">IFERROR(__xludf.DUMMYFUNCTION("""COMPUTED_VALUE"""),1673071125)</f>
        <v>1673071125</v>
      </c>
      <c r="E158" s="12">
        <f ca="1">IFERROR(__xludf.DUMMYFUNCTION("""COMPUTED_VALUE"""),46148)</f>
        <v>46148</v>
      </c>
      <c r="F158" s="10" t="str">
        <f ca="1">IFERROR(__xludf.DUMMYFUNCTION("""COMPUTED_VALUE"""),"LETTERS")</f>
        <v>LETTERS</v>
      </c>
      <c r="G158" s="10" t="str">
        <f ca="1">IFERROR(__xludf.DUMMYFUNCTION("""COMPUTED_VALUE"""),"B2C")</f>
        <v>B2C</v>
      </c>
      <c r="H158" s="10" t="str">
        <f ca="1">IFERROR(__xludf.DUMMYFUNCTION("""COMPUTED_VALUE"""),"SANTOSH VERMA")</f>
        <v>SANTOSH VERMA</v>
      </c>
    </row>
    <row r="159" spans="1:8">
      <c r="A159" s="10">
        <f ca="1">IFERROR(__xludf.DUMMYFUNCTION("""COMPUTED_VALUE"""),14)</f>
        <v>14</v>
      </c>
      <c r="B159" s="10" t="str">
        <f ca="1">IFERROR(__xludf.DUMMYFUNCTION("""COMPUTED_VALUE"""),"Indore MFL")</f>
        <v>Indore MFL</v>
      </c>
      <c r="C159" s="10" t="str">
        <f ca="1">IFERROR(__xludf.DUMMYFUNCTION("""COMPUTED_VALUE"""),"Gupta enterprises")</f>
        <v>Gupta enterprises</v>
      </c>
      <c r="D159" s="10">
        <f ca="1">IFERROR(__xludf.DUMMYFUNCTION("""COMPUTED_VALUE"""),1673071125)</f>
        <v>1673071125</v>
      </c>
      <c r="E159" s="12">
        <f ca="1">IFERROR(__xludf.DUMMYFUNCTION("""COMPUTED_VALUE"""),46148)</f>
        <v>46148</v>
      </c>
      <c r="F159" s="10" t="str">
        <f ca="1">IFERROR(__xludf.DUMMYFUNCTION("""COMPUTED_VALUE"""),"LETTES")</f>
        <v>LETTES</v>
      </c>
      <c r="G159" s="10" t="str">
        <f ca="1">IFERROR(__xludf.DUMMYFUNCTION("""COMPUTED_VALUE"""),"B2C")</f>
        <v>B2C</v>
      </c>
      <c r="H159" s="10" t="str">
        <f ca="1">IFERROR(__xludf.DUMMYFUNCTION("""COMPUTED_VALUE"""),"SANTOSH VERMA")</f>
        <v>SANTOSH VERMA</v>
      </c>
    </row>
    <row r="160" spans="1:8">
      <c r="A160" s="10">
        <f ca="1">IFERROR(__xludf.DUMMYFUNCTION("""COMPUTED_VALUE"""),15)</f>
        <v>15</v>
      </c>
      <c r="B160" s="10" t="str">
        <f ca="1">IFERROR(__xludf.DUMMYFUNCTION("""COMPUTED_VALUE"""),"Indore MFL")</f>
        <v>Indore MFL</v>
      </c>
      <c r="C160" s="10" t="str">
        <f ca="1">IFERROR(__xludf.DUMMYFUNCTION("""COMPUTED_VALUE"""),"ZAKIR SHAH")</f>
        <v>ZAKIR SHAH</v>
      </c>
      <c r="D160" s="10">
        <f ca="1">IFERROR(__xludf.DUMMYFUNCTION("""COMPUTED_VALUE"""),1448409374)</f>
        <v>1448409374</v>
      </c>
      <c r="E160" s="12">
        <f ca="1">IFERROR(__xludf.DUMMYFUNCTION("""COMPUTED_VALUE"""),46128)</f>
        <v>46128</v>
      </c>
      <c r="F160" s="10" t="str">
        <f ca="1">IFERROR(__xludf.DUMMYFUNCTION("""COMPUTED_VALUE"""),"MACHINE GOODS")</f>
        <v>MACHINE GOODS</v>
      </c>
      <c r="G160" s="10" t="str">
        <f ca="1">IFERROR(__xludf.DUMMYFUNCTION("""COMPUTED_VALUE"""),"B2C")</f>
        <v>B2C</v>
      </c>
      <c r="H160" s="10" t="str">
        <f ca="1">IFERROR(__xludf.DUMMYFUNCTION("""COMPUTED_VALUE"""),"SANTOSH VERMA")</f>
        <v>SANTOSH VERMA</v>
      </c>
    </row>
    <row r="161" spans="1:8">
      <c r="A161" s="10">
        <f ca="1">IFERROR(__xludf.DUMMYFUNCTION("""COMPUTED_VALUE"""),16)</f>
        <v>16</v>
      </c>
      <c r="B161" s="10" t="str">
        <f ca="1">IFERROR(__xludf.DUMMYFUNCTION("""COMPUTED_VALUE"""),"Indore MFL")</f>
        <v>Indore MFL</v>
      </c>
      <c r="C161" s="10" t="str">
        <f ca="1">IFERROR(__xludf.DUMMYFUNCTION("""COMPUTED_VALUE"""),"Shri Mohan Enterprises")</f>
        <v>Shri Mohan Enterprises</v>
      </c>
      <c r="D161" s="10">
        <f ca="1">IFERROR(__xludf.DUMMYFUNCTION("""COMPUTED_VALUE"""),1659797309)</f>
        <v>1659797309</v>
      </c>
      <c r="E161" s="12">
        <f ca="1">IFERROR(__xludf.DUMMYFUNCTION("""COMPUTED_VALUE"""),46128)</f>
        <v>46128</v>
      </c>
      <c r="F161" s="10" t="str">
        <f ca="1">IFERROR(__xludf.DUMMYFUNCTION("""COMPUTED_VALUE"""),"SPORTS PRODUCTS")</f>
        <v>SPORTS PRODUCTS</v>
      </c>
      <c r="G161" s="10" t="str">
        <f ca="1">IFERROR(__xludf.DUMMYFUNCTION("""COMPUTED_VALUE"""),"B2C")</f>
        <v>B2C</v>
      </c>
      <c r="H161" s="10" t="str">
        <f ca="1">IFERROR(__xludf.DUMMYFUNCTION("""COMPUTED_VALUE"""),"SANTOSH VERMA")</f>
        <v>SANTOSH VERMA</v>
      </c>
    </row>
    <row r="162" spans="1:8">
      <c r="A162" s="10">
        <f ca="1">IFERROR(__xludf.DUMMYFUNCTION("""COMPUTED_VALUE"""),17)</f>
        <v>17</v>
      </c>
      <c r="B162" s="10" t="str">
        <f ca="1">IFERROR(__xludf.DUMMYFUNCTION("""COMPUTED_VALUE"""),"Indore MFL")</f>
        <v>Indore MFL</v>
      </c>
      <c r="C162" s="10" t="str">
        <f ca="1">IFERROR(__xludf.DUMMYFUNCTION("""COMPUTED_VALUE"""),"ZAKIR SHAH")</f>
        <v>ZAKIR SHAH</v>
      </c>
      <c r="D162" s="10">
        <f ca="1">IFERROR(__xludf.DUMMYFUNCTION("""COMPUTED_VALUE"""),1448409374)</f>
        <v>1448409374</v>
      </c>
      <c r="E162" s="12">
        <f ca="1">IFERROR(__xludf.DUMMYFUNCTION("""COMPUTED_VALUE"""),46125)</f>
        <v>46125</v>
      </c>
      <c r="F162" s="10" t="str">
        <f ca="1">IFERROR(__xludf.DUMMYFUNCTION("""COMPUTED_VALUE"""),"MACHINE GOODS")</f>
        <v>MACHINE GOODS</v>
      </c>
      <c r="G162" s="10" t="str">
        <f ca="1">IFERROR(__xludf.DUMMYFUNCTION("""COMPUTED_VALUE"""),"B2C")</f>
        <v>B2C</v>
      </c>
      <c r="H162" s="10" t="str">
        <f ca="1">IFERROR(__xludf.DUMMYFUNCTION("""COMPUTED_VALUE"""),"SANTOSH VERMA")</f>
        <v>SANTOSH VERMA</v>
      </c>
    </row>
    <row r="163" spans="1:8">
      <c r="A163" s="10">
        <f ca="1">IFERROR(__xludf.DUMMYFUNCTION("""COMPUTED_VALUE"""),18)</f>
        <v>18</v>
      </c>
      <c r="B163" s="10" t="str">
        <f ca="1">IFERROR(__xludf.DUMMYFUNCTION("""COMPUTED_VALUE"""),"Indore MFL")</f>
        <v>Indore MFL</v>
      </c>
      <c r="C163" s="10" t="str">
        <f ca="1">IFERROR(__xludf.DUMMYFUNCTION("""COMPUTED_VALUE"""),"PANKAJ FOOTWEAR")</f>
        <v>PANKAJ FOOTWEAR</v>
      </c>
      <c r="D163" s="10">
        <f ca="1">IFERROR(__xludf.DUMMYFUNCTION("""COMPUTED_VALUE"""),1937988531)</f>
        <v>1937988531</v>
      </c>
      <c r="E163" s="12">
        <f ca="1">IFERROR(__xludf.DUMMYFUNCTION("""COMPUTED_VALUE"""),46125)</f>
        <v>46125</v>
      </c>
      <c r="F163" s="10" t="str">
        <f ca="1">IFERROR(__xludf.DUMMYFUNCTION("""COMPUTED_VALUE"""),"SHOES")</f>
        <v>SHOES</v>
      </c>
      <c r="G163" s="10" t="str">
        <f ca="1">IFERROR(__xludf.DUMMYFUNCTION("""COMPUTED_VALUE"""),"B2C")</f>
        <v>B2C</v>
      </c>
      <c r="H163" s="10" t="str">
        <f ca="1">IFERROR(__xludf.DUMMYFUNCTION("""COMPUTED_VALUE"""),"SANTOSH VERMA")</f>
        <v>SANTOSH VERMA</v>
      </c>
    </row>
    <row r="164" spans="1:8">
      <c r="A164" s="10">
        <f ca="1">IFERROR(__xludf.DUMMYFUNCTION("""COMPUTED_VALUE"""),19)</f>
        <v>19</v>
      </c>
      <c r="B164" s="10" t="str">
        <f ca="1">IFERROR(__xludf.DUMMYFUNCTION("""COMPUTED_VALUE"""),"Indore MFL")</f>
        <v>Indore MFL</v>
      </c>
      <c r="C164" s="10" t="str">
        <f ca="1">IFERROR(__xludf.DUMMYFUNCTION("""COMPUTED_VALUE"""),"PM SHRI Kendriya Vidhayala")</f>
        <v>PM SHRI Kendriya Vidhayala</v>
      </c>
      <c r="D164" s="10">
        <f ca="1">IFERROR(__xludf.DUMMYFUNCTION("""COMPUTED_VALUE"""),1277118452)</f>
        <v>1277118452</v>
      </c>
      <c r="E164" s="12">
        <f ca="1">IFERROR(__xludf.DUMMYFUNCTION("""COMPUTED_VALUE"""),46118)</f>
        <v>46118</v>
      </c>
      <c r="F164" s="10" t="str">
        <f ca="1">IFERROR(__xludf.DUMMYFUNCTION("""COMPUTED_VALUE"""),"LETTERS")</f>
        <v>LETTERS</v>
      </c>
      <c r="G164" s="10" t="str">
        <f ca="1">IFERROR(__xludf.DUMMYFUNCTION("""COMPUTED_VALUE"""),"B2C")</f>
        <v>B2C</v>
      </c>
      <c r="H164" s="10" t="str">
        <f ca="1">IFERROR(__xludf.DUMMYFUNCTION("""COMPUTED_VALUE"""),"SANTOSH VERMA")</f>
        <v>SANTOSH VERMA</v>
      </c>
    </row>
    <row r="165" spans="1:8">
      <c r="A165" s="10">
        <f ca="1">IFERROR(__xludf.DUMMYFUNCTION("""COMPUTED_VALUE"""),20)</f>
        <v>20</v>
      </c>
      <c r="B165" s="10" t="str">
        <f ca="1">IFERROR(__xludf.DUMMYFUNCTION("""COMPUTED_VALUE"""),"Indore MFL")</f>
        <v>Indore MFL</v>
      </c>
      <c r="C165" s="10" t="str">
        <f ca="1">IFERROR(__xludf.DUMMYFUNCTION("""COMPUTED_VALUE"""),"Shri Mohan Enterprises")</f>
        <v>Shri Mohan Enterprises</v>
      </c>
      <c r="D165" s="10">
        <f ca="1">IFERROR(__xludf.DUMMYFUNCTION("""COMPUTED_VALUE"""),1659797309)</f>
        <v>1659797309</v>
      </c>
      <c r="E165" s="12">
        <f ca="1">IFERROR(__xludf.DUMMYFUNCTION("""COMPUTED_VALUE"""),46118)</f>
        <v>46118</v>
      </c>
      <c r="F165" s="10" t="str">
        <f ca="1">IFERROR(__xludf.DUMMYFUNCTION("""COMPUTED_VALUE"""),"LETTERS")</f>
        <v>LETTERS</v>
      </c>
      <c r="G165" s="10" t="str">
        <f ca="1">IFERROR(__xludf.DUMMYFUNCTION("""COMPUTED_VALUE"""),"B2C")</f>
        <v>B2C</v>
      </c>
      <c r="H165" s="10" t="str">
        <f ca="1">IFERROR(__xludf.DUMMYFUNCTION("""COMPUTED_VALUE"""),"SANTOSH VERMA")</f>
        <v>SANTOSH VERMA</v>
      </c>
    </row>
    <row r="166" spans="1:8">
      <c r="A166" s="10">
        <f ca="1">IFERROR(__xludf.DUMMYFUNCTION("""COMPUTED_VALUE"""),21)</f>
        <v>21</v>
      </c>
      <c r="B166" s="10" t="str">
        <f ca="1">IFERROR(__xludf.DUMMYFUNCTION("""COMPUTED_VALUE"""),"Indore MFL")</f>
        <v>Indore MFL</v>
      </c>
      <c r="C166" s="10" t="str">
        <f ca="1">IFERROR(__xludf.DUMMYFUNCTION("""COMPUTED_VALUE"""),"CAREER COMPUTOR")</f>
        <v>CAREER COMPUTOR</v>
      </c>
      <c r="D166" s="10">
        <f ca="1">IFERROR(__xludf.DUMMYFUNCTION("""COMPUTED_VALUE"""),1223869230)</f>
        <v>1223869230</v>
      </c>
      <c r="E166" s="12">
        <f ca="1">IFERROR(__xludf.DUMMYFUNCTION("""COMPUTED_VALUE"""),46294)</f>
        <v>46294</v>
      </c>
      <c r="F166" s="10" t="str">
        <f ca="1">IFERROR(__xludf.DUMMYFUNCTION("""COMPUTED_VALUE"""),"PARCEL")</f>
        <v>PARCEL</v>
      </c>
      <c r="G166" s="10" t="str">
        <f ca="1">IFERROR(__xludf.DUMMYFUNCTION("""COMPUTED_VALUE"""),"B2C")</f>
        <v>B2C</v>
      </c>
      <c r="H166" s="10" t="str">
        <f ca="1">IFERROR(__xludf.DUMMYFUNCTION("""COMPUTED_VALUE"""),"BRIJESH SHRIVAS")</f>
        <v>BRIJESH SHRIVAS</v>
      </c>
    </row>
    <row r="167" spans="1:8">
      <c r="A167" s="10">
        <f ca="1">IFERROR(__xludf.DUMMYFUNCTION("""COMPUTED_VALUE"""),22)</f>
        <v>22</v>
      </c>
      <c r="B167" s="10" t="str">
        <f ca="1">IFERROR(__xludf.DUMMYFUNCTION("""COMPUTED_VALUE"""),"Indore MFL")</f>
        <v>Indore MFL</v>
      </c>
      <c r="C167" s="10" t="str">
        <f ca="1">IFERROR(__xludf.DUMMYFUNCTION("""COMPUTED_VALUE"""),"BAIS AYURVEDA BHAWAN")</f>
        <v>BAIS AYURVEDA BHAWAN</v>
      </c>
      <c r="D167" s="10">
        <f ca="1">IFERROR(__xludf.DUMMYFUNCTION("""COMPUTED_VALUE"""),1772021930)</f>
        <v>1772021930</v>
      </c>
      <c r="E167" s="12">
        <f ca="1">IFERROR(__xludf.DUMMYFUNCTION("""COMPUTED_VALUE"""),46287)</f>
        <v>46287</v>
      </c>
      <c r="F167" s="10" t="str">
        <f ca="1">IFERROR(__xludf.DUMMYFUNCTION("""COMPUTED_VALUE"""),"PARCEL")</f>
        <v>PARCEL</v>
      </c>
      <c r="G167" s="10" t="str">
        <f ca="1">IFERROR(__xludf.DUMMYFUNCTION("""COMPUTED_VALUE"""),"B2C")</f>
        <v>B2C</v>
      </c>
      <c r="H167" s="10" t="str">
        <f ca="1">IFERROR(__xludf.DUMMYFUNCTION("""COMPUTED_VALUE"""),"BRIJESH SHRIVAS")</f>
        <v>BRIJESH SHRIVAS</v>
      </c>
    </row>
    <row r="168" spans="1:8">
      <c r="A168" s="10">
        <f ca="1">IFERROR(__xludf.DUMMYFUNCTION("""COMPUTED_VALUE"""),23)</f>
        <v>23</v>
      </c>
      <c r="B168" s="10" t="str">
        <f ca="1">IFERROR(__xludf.DUMMYFUNCTION("""COMPUTED_VALUE"""),"Indore MFL")</f>
        <v>Indore MFL</v>
      </c>
      <c r="C168" s="10" t="str">
        <f ca="1">IFERROR(__xludf.DUMMYFUNCTION("""COMPUTED_VALUE"""),"ROBOPIE.INC")</f>
        <v>ROBOPIE.INC</v>
      </c>
      <c r="D168" s="10">
        <f ca="1">IFERROR(__xludf.DUMMYFUNCTION("""COMPUTED_VALUE"""),1150824214)</f>
        <v>1150824214</v>
      </c>
      <c r="E168" s="12">
        <f ca="1">IFERROR(__xludf.DUMMYFUNCTION("""COMPUTED_VALUE"""),46286)</f>
        <v>46286</v>
      </c>
      <c r="F168" s="10" t="str">
        <f ca="1">IFERROR(__xludf.DUMMYFUNCTION("""COMPUTED_VALUE"""),"PARCEL")</f>
        <v>PARCEL</v>
      </c>
      <c r="G168" s="10" t="str">
        <f ca="1">IFERROR(__xludf.DUMMYFUNCTION("""COMPUTED_VALUE"""),"B2C")</f>
        <v>B2C</v>
      </c>
      <c r="H168" s="10" t="str">
        <f ca="1">IFERROR(__xludf.DUMMYFUNCTION("""COMPUTED_VALUE"""),"SANTOSH VERMA")</f>
        <v>SANTOSH VERMA</v>
      </c>
    </row>
    <row r="169" spans="1:8">
      <c r="A169" s="10">
        <f ca="1">IFERROR(__xludf.DUMMYFUNCTION("""COMPUTED_VALUE"""),24)</f>
        <v>24</v>
      </c>
      <c r="B169" s="10" t="str">
        <f ca="1">IFERROR(__xludf.DUMMYFUNCTION("""COMPUTED_VALUE"""),"Indore MFL")</f>
        <v>Indore MFL</v>
      </c>
      <c r="C169" s="10" t="str">
        <f ca="1">IFERROR(__xludf.DUMMYFUNCTION("""COMPUTED_VALUE"""),"ARYA NEWTECH PRIVATE LIMITED")</f>
        <v>ARYA NEWTECH PRIVATE LIMITED</v>
      </c>
      <c r="D169" s="10">
        <f ca="1">IFERROR(__xludf.DUMMYFUNCTION("""COMPUTED_VALUE"""),1450036391)</f>
        <v>1450036391</v>
      </c>
      <c r="E169" s="12">
        <f ca="1">IFERROR(__xludf.DUMMYFUNCTION("""COMPUTED_VALUE"""),46281)</f>
        <v>46281</v>
      </c>
      <c r="F169" s="10" t="str">
        <f ca="1">IFERROR(__xludf.DUMMYFUNCTION("""COMPUTED_VALUE"""),"PARCEL")</f>
        <v>PARCEL</v>
      </c>
      <c r="G169" s="10" t="str">
        <f ca="1">IFERROR(__xludf.DUMMYFUNCTION("""COMPUTED_VALUE"""),"B2C")</f>
        <v>B2C</v>
      </c>
      <c r="H169" s="10" t="str">
        <f ca="1">IFERROR(__xludf.DUMMYFUNCTION("""COMPUTED_VALUE"""),"BRIJESH SHRIVAS")</f>
        <v>BRIJESH SHRIVAS</v>
      </c>
    </row>
    <row r="170" spans="1:8">
      <c r="A170" s="10">
        <f ca="1">IFERROR(__xludf.DUMMYFUNCTION("""COMPUTED_VALUE"""),25)</f>
        <v>25</v>
      </c>
      <c r="B170" s="10" t="str">
        <f ca="1">IFERROR(__xludf.DUMMYFUNCTION("""COMPUTED_VALUE"""),"Indore MFL")</f>
        <v>Indore MFL</v>
      </c>
      <c r="C170" s="10" t="str">
        <f ca="1">IFERROR(__xludf.DUMMYFUNCTION("""COMPUTED_VALUE"""),"ARYA NEWTECH PRIVATE LIMITED")</f>
        <v>ARYA NEWTECH PRIVATE LIMITED</v>
      </c>
      <c r="D170" s="10">
        <f ca="1">IFERROR(__xludf.DUMMYFUNCTION("""COMPUTED_VALUE"""),1450036391)</f>
        <v>1450036391</v>
      </c>
      <c r="E170" s="12">
        <f ca="1">IFERROR(__xludf.DUMMYFUNCTION("""COMPUTED_VALUE"""),46281)</f>
        <v>46281</v>
      </c>
      <c r="F170" s="10" t="str">
        <f ca="1">IFERROR(__xludf.DUMMYFUNCTION("""COMPUTED_VALUE"""),"LETTERS")</f>
        <v>LETTERS</v>
      </c>
      <c r="G170" s="10" t="str">
        <f ca="1">IFERROR(__xludf.DUMMYFUNCTION("""COMPUTED_VALUE"""),"B2C")</f>
        <v>B2C</v>
      </c>
      <c r="H170" s="10" t="str">
        <f ca="1">IFERROR(__xludf.DUMMYFUNCTION("""COMPUTED_VALUE"""),"BRIJESH SHRIVAS")</f>
        <v>BRIJESH SHRIVAS</v>
      </c>
    </row>
    <row r="171" spans="1:8">
      <c r="A171" s="10">
        <f ca="1">IFERROR(__xludf.DUMMYFUNCTION("""COMPUTED_VALUE"""),26)</f>
        <v>26</v>
      </c>
      <c r="B171" s="10" t="str">
        <f ca="1">IFERROR(__xludf.DUMMYFUNCTION("""COMPUTED_VALUE"""),"Indore MFL")</f>
        <v>Indore MFL</v>
      </c>
      <c r="C171" s="10" t="str">
        <f ca="1">IFERROR(__xludf.DUMMYFUNCTION("""COMPUTED_VALUE"""),"VELLA INTERNATIONAL")</f>
        <v>VELLA INTERNATIONAL</v>
      </c>
      <c r="D171" s="10">
        <f ca="1">IFERROR(__xludf.DUMMYFUNCTION("""COMPUTED_VALUE"""),1895390937)</f>
        <v>1895390937</v>
      </c>
      <c r="E171" s="12">
        <f ca="1">IFERROR(__xludf.DUMMYFUNCTION("""COMPUTED_VALUE"""),46278)</f>
        <v>46278</v>
      </c>
      <c r="F171" s="10" t="str">
        <f ca="1">IFERROR(__xludf.DUMMYFUNCTION("""COMPUTED_VALUE"""),"PARCEL")</f>
        <v>PARCEL</v>
      </c>
      <c r="G171" s="10" t="str">
        <f ca="1">IFERROR(__xludf.DUMMYFUNCTION("""COMPUTED_VALUE"""),"B2C")</f>
        <v>B2C</v>
      </c>
      <c r="H171" s="10" t="str">
        <f ca="1">IFERROR(__xludf.DUMMYFUNCTION("""COMPUTED_VALUE"""),"SANTOSH VERMA")</f>
        <v>SANTOSH VERMA</v>
      </c>
    </row>
    <row r="172" spans="1:8">
      <c r="A172" s="10">
        <f ca="1">IFERROR(__xludf.DUMMYFUNCTION("""COMPUTED_VALUE"""),27)</f>
        <v>27</v>
      </c>
      <c r="B172" s="10" t="str">
        <f ca="1">IFERROR(__xludf.DUMMYFUNCTION("""COMPUTED_VALUE"""),"Indore MFL")</f>
        <v>Indore MFL</v>
      </c>
      <c r="C172" s="10" t="str">
        <f ca="1">IFERROR(__xludf.DUMMYFUNCTION("""COMPUTED_VALUE"""),"IPPB Dewas")</f>
        <v>IPPB Dewas</v>
      </c>
      <c r="D172" s="10">
        <f ca="1">IFERROR(__xludf.DUMMYFUNCTION("""COMPUTED_VALUE"""),1973617996)</f>
        <v>1973617996</v>
      </c>
      <c r="E172" s="12">
        <f ca="1">IFERROR(__xludf.DUMMYFUNCTION("""COMPUTED_VALUE"""),46266)</f>
        <v>46266</v>
      </c>
      <c r="F172" s="10" t="str">
        <f ca="1">IFERROR(__xludf.DUMMYFUNCTION("""COMPUTED_VALUE"""),"LETTERS")</f>
        <v>LETTERS</v>
      </c>
      <c r="G172" s="10" t="str">
        <f ca="1">IFERROR(__xludf.DUMMYFUNCTION("""COMPUTED_VALUE"""),"B2C")</f>
        <v>B2C</v>
      </c>
      <c r="H172" s="10" t="str">
        <f ca="1">IFERROR(__xludf.DUMMYFUNCTION("""COMPUTED_VALUE"""),"SANTOSH VERMA")</f>
        <v>SANTOSH VERMA</v>
      </c>
    </row>
    <row r="173" spans="1:8">
      <c r="A173" s="10">
        <f ca="1">IFERROR(__xludf.DUMMYFUNCTION("""COMPUTED_VALUE"""),1)</f>
        <v>1</v>
      </c>
      <c r="B173" s="10" t="str">
        <f ca="1">IFERROR(__xludf.DUMMYFUNCTION("""COMPUTED_VALUE"""),"Khandwa")</f>
        <v>Khandwa</v>
      </c>
      <c r="C173" s="10" t="str">
        <f ca="1">IFERROR(__xludf.DUMMYFUNCTION("""COMPUTED_VALUE"""),"PIONEER HANDLOOM")</f>
        <v>PIONEER HANDLOOM</v>
      </c>
      <c r="D173" s="10">
        <f ca="1">IFERROR(__xludf.DUMMYFUNCTION("""COMPUTED_VALUE"""),1599830445)</f>
        <v>1599830445</v>
      </c>
      <c r="E173" s="12"/>
      <c r="F173" s="10" t="str">
        <f ca="1">IFERROR(__xludf.DUMMYFUNCTION("""COMPUTED_VALUE"""),"Speed Post Parcel Domestic")</f>
        <v>Speed Post Parcel Domestic</v>
      </c>
      <c r="G173" s="10" t="str">
        <f ca="1">IFERROR(__xludf.DUMMYFUNCTION("""COMPUTED_VALUE"""),"B2C")</f>
        <v>B2C</v>
      </c>
      <c r="H173" s="10" t="str">
        <f ca="1">IFERROR(__xludf.DUMMYFUNCTION("""COMPUTED_VALUE"""),"VINEET PATEL")</f>
        <v>VINEET PATEL</v>
      </c>
    </row>
    <row r="174" spans="1:8">
      <c r="A174" s="10">
        <f ca="1">IFERROR(__xludf.DUMMYFUNCTION("""COMPUTED_VALUE"""),2)</f>
        <v>2</v>
      </c>
      <c r="B174" s="10" t="str">
        <f ca="1">IFERROR(__xludf.DUMMYFUNCTION("""COMPUTED_VALUE"""),"Khandwa")</f>
        <v>Khandwa</v>
      </c>
      <c r="C174" s="10" t="str">
        <f ca="1">IFERROR(__xludf.DUMMYFUNCTION("""COMPUTED_VALUE"""),"SHIVRAM BILLORE")</f>
        <v>SHIVRAM BILLORE</v>
      </c>
      <c r="D174" s="10">
        <f ca="1">IFERROR(__xludf.DUMMYFUNCTION("""COMPUTED_VALUE"""),1433891952)</f>
        <v>1433891952</v>
      </c>
      <c r="E174" s="12"/>
      <c r="F174" s="10" t="str">
        <f ca="1">IFERROR(__xludf.DUMMYFUNCTION("""COMPUTED_VALUE"""),"Speed Post Parcel Domestic")</f>
        <v>Speed Post Parcel Domestic</v>
      </c>
      <c r="G174" s="10" t="str">
        <f ca="1">IFERROR(__xludf.DUMMYFUNCTION("""COMPUTED_VALUE"""),"B2C")</f>
        <v>B2C</v>
      </c>
      <c r="H174" s="10" t="str">
        <f ca="1">IFERROR(__xludf.DUMMYFUNCTION("""COMPUTED_VALUE"""),"VINEET PATEL")</f>
        <v>VINEET PATEL</v>
      </c>
    </row>
    <row r="175" spans="1:8">
      <c r="A175" s="10">
        <f ca="1">IFERROR(__xludf.DUMMYFUNCTION("""COMPUTED_VALUE"""),3)</f>
        <v>3</v>
      </c>
      <c r="B175" s="10" t="str">
        <f ca="1">IFERROR(__xludf.DUMMYFUNCTION("""COMPUTED_VALUE"""),"Khandwa")</f>
        <v>Khandwa</v>
      </c>
      <c r="C175" s="10" t="str">
        <f ca="1">IFERROR(__xludf.DUMMYFUNCTION("""COMPUTED_VALUE"""),"BHAGYASHREE AGRAWAL")</f>
        <v>BHAGYASHREE AGRAWAL</v>
      </c>
      <c r="D175" s="10">
        <f ca="1">IFERROR(__xludf.DUMMYFUNCTION("""COMPUTED_VALUE"""),1147531131)</f>
        <v>1147531131</v>
      </c>
      <c r="E175" s="12"/>
      <c r="F175" s="10" t="str">
        <f ca="1">IFERROR(__xludf.DUMMYFUNCTION("""COMPUTED_VALUE"""),"Indiapost Parcel Contractual")</f>
        <v>Indiapost Parcel Contractual</v>
      </c>
      <c r="G175" s="10" t="str">
        <f ca="1">IFERROR(__xludf.DUMMYFUNCTION("""COMPUTED_VALUE"""),"B2C")</f>
        <v>B2C</v>
      </c>
      <c r="H175" s="10" t="str">
        <f ca="1">IFERROR(__xludf.DUMMYFUNCTION("""COMPUTED_VALUE"""),"junaid khan")</f>
        <v>junaid khan</v>
      </c>
    </row>
    <row r="176" spans="1:8">
      <c r="A176" s="10">
        <f ca="1">IFERROR(__xludf.DUMMYFUNCTION("""COMPUTED_VALUE"""),4)</f>
        <v>4</v>
      </c>
      <c r="B176" s="10" t="str">
        <f ca="1">IFERROR(__xludf.DUMMYFUNCTION("""COMPUTED_VALUE"""),"Khandwa")</f>
        <v>Khandwa</v>
      </c>
      <c r="C176" s="10" t="str">
        <f ca="1">IFERROR(__xludf.DUMMYFUNCTION("""COMPUTED_VALUE"""),"New Kanpur Chappal Sale")</f>
        <v>New Kanpur Chappal Sale</v>
      </c>
      <c r="D176" s="10">
        <f ca="1">IFERROR(__xludf.DUMMYFUNCTION("""COMPUTED_VALUE"""),1438989417)</f>
        <v>1438989417</v>
      </c>
      <c r="E176" s="12"/>
      <c r="F176" s="10" t="str">
        <f ca="1">IFERROR(__xludf.DUMMYFUNCTION("""COMPUTED_VALUE"""),"Indiapost Parcel Contractual")</f>
        <v>Indiapost Parcel Contractual</v>
      </c>
      <c r="G176" s="10" t="str">
        <f ca="1">IFERROR(__xludf.DUMMYFUNCTION("""COMPUTED_VALUE"""),"B2C")</f>
        <v>B2C</v>
      </c>
      <c r="H176" s="10" t="str">
        <f ca="1">IFERROR(__xludf.DUMMYFUNCTION("""COMPUTED_VALUE"""),"VINEET PATEL")</f>
        <v>VINEET PATEL</v>
      </c>
    </row>
    <row r="177" spans="1:8">
      <c r="A177" s="10">
        <f ca="1">IFERROR(__xludf.DUMMYFUNCTION("""COMPUTED_VALUE"""),5)</f>
        <v>5</v>
      </c>
      <c r="B177" s="10" t="str">
        <f ca="1">IFERROR(__xludf.DUMMYFUNCTION("""COMPUTED_VALUE"""),"Khandwa")</f>
        <v>Khandwa</v>
      </c>
      <c r="C177" s="10" t="str">
        <f ca="1">IFERROR(__xludf.DUMMYFUNCTION("""COMPUTED_VALUE"""),"AKHTAR KHAN")</f>
        <v>AKHTAR KHAN</v>
      </c>
      <c r="D177" s="10">
        <f ca="1">IFERROR(__xludf.DUMMYFUNCTION("""COMPUTED_VALUE"""),1896217385)</f>
        <v>1896217385</v>
      </c>
      <c r="E177" s="12"/>
      <c r="F177" s="10" t="str">
        <f ca="1">IFERROR(__xludf.DUMMYFUNCTION("""COMPUTED_VALUE"""),"Indiapost Parcel Contractual")</f>
        <v>Indiapost Parcel Contractual</v>
      </c>
      <c r="G177" s="10" t="str">
        <f ca="1">IFERROR(__xludf.DUMMYFUNCTION("""COMPUTED_VALUE"""),"B2C")</f>
        <v>B2C</v>
      </c>
      <c r="H177" s="10" t="str">
        <f ca="1">IFERROR(__xludf.DUMMYFUNCTION("""COMPUTED_VALUE"""),"junaid khan")</f>
        <v>junaid khan</v>
      </c>
    </row>
    <row r="178" spans="1:8">
      <c r="A178" s="10">
        <f ca="1">IFERROR(__xludf.DUMMYFUNCTION("""COMPUTED_VALUE"""),6)</f>
        <v>6</v>
      </c>
      <c r="B178" s="10" t="str">
        <f ca="1">IFERROR(__xludf.DUMMYFUNCTION("""COMPUTED_VALUE"""),"Khandwa")</f>
        <v>Khandwa</v>
      </c>
      <c r="C178" s="10" t="str">
        <f ca="1">IFERROR(__xludf.DUMMYFUNCTION("""COMPUTED_VALUE"""),"YASHWANT MANGOLIYA")</f>
        <v>YASHWANT MANGOLIYA</v>
      </c>
      <c r="D178" s="10">
        <f ca="1">IFERROR(__xludf.DUMMYFUNCTION("""COMPUTED_VALUE"""),1582492512)</f>
        <v>1582492512</v>
      </c>
      <c r="E178" s="12"/>
      <c r="F178" s="10" t="str">
        <f ca="1">IFERROR(__xludf.DUMMYFUNCTION("""COMPUTED_VALUE"""),"Indiapost Parcel Contractual")</f>
        <v>Indiapost Parcel Contractual</v>
      </c>
      <c r="G178" s="10" t="str">
        <f ca="1">IFERROR(__xludf.DUMMYFUNCTION("""COMPUTED_VALUE"""),"B2C")</f>
        <v>B2C</v>
      </c>
      <c r="H178" s="10" t="str">
        <f ca="1">IFERROR(__xludf.DUMMYFUNCTION("""COMPUTED_VALUE"""),"VINEET PATEL")</f>
        <v>VINEET PATEL</v>
      </c>
    </row>
    <row r="179" spans="1:8">
      <c r="A179" s="10">
        <f ca="1">IFERROR(__xludf.DUMMYFUNCTION("""COMPUTED_VALUE"""),7)</f>
        <v>7</v>
      </c>
      <c r="B179" s="10" t="str">
        <f ca="1">IFERROR(__xludf.DUMMYFUNCTION("""COMPUTED_VALUE"""),"Khandwa")</f>
        <v>Khandwa</v>
      </c>
      <c r="C179" s="10" t="str">
        <f ca="1">IFERROR(__xludf.DUMMYFUNCTION("""COMPUTED_VALUE"""),"MISS CHORCHET")</f>
        <v>MISS CHORCHET</v>
      </c>
      <c r="D179" s="10">
        <f ca="1">IFERROR(__xludf.DUMMYFUNCTION("""COMPUTED_VALUE"""),1000058530)</f>
        <v>1000058530</v>
      </c>
      <c r="E179" s="12"/>
      <c r="F179" s="10" t="str">
        <f ca="1">IFERROR(__xludf.DUMMYFUNCTION("""COMPUTED_VALUE"""),"Indiapost Parcel Contractual")</f>
        <v>Indiapost Parcel Contractual</v>
      </c>
      <c r="G179" s="10" t="str">
        <f ca="1">IFERROR(__xludf.DUMMYFUNCTION("""COMPUTED_VALUE"""),"B2C")</f>
        <v>B2C</v>
      </c>
      <c r="H179" s="10" t="str">
        <f ca="1">IFERROR(__xludf.DUMMYFUNCTION("""COMPUTED_VALUE"""),"Sunil bhojwani")</f>
        <v>Sunil bhojwani</v>
      </c>
    </row>
    <row r="180" spans="1:8">
      <c r="A180" s="10">
        <f ca="1">IFERROR(__xludf.DUMMYFUNCTION("""COMPUTED_VALUE"""),8)</f>
        <v>8</v>
      </c>
      <c r="B180" s="10" t="str">
        <f ca="1">IFERROR(__xludf.DUMMYFUNCTION("""COMPUTED_VALUE"""),"Khandwa")</f>
        <v>Khandwa</v>
      </c>
      <c r="C180" s="10" t="str">
        <f ca="1">IFERROR(__xludf.DUMMYFUNCTION("""COMPUTED_VALUE"""),"MAHAK ASWANI")</f>
        <v>MAHAK ASWANI</v>
      </c>
      <c r="D180" s="10">
        <f ca="1">IFERROR(__xludf.DUMMYFUNCTION("""COMPUTED_VALUE"""),1509137621)</f>
        <v>1509137621</v>
      </c>
      <c r="E180" s="12"/>
      <c r="F180" s="10" t="str">
        <f ca="1">IFERROR(__xludf.DUMMYFUNCTION("""COMPUTED_VALUE"""),"Indiapost Parcel Contractual")</f>
        <v>Indiapost Parcel Contractual</v>
      </c>
      <c r="G180" s="10" t="str">
        <f ca="1">IFERROR(__xludf.DUMMYFUNCTION("""COMPUTED_VALUE"""),"B2C")</f>
        <v>B2C</v>
      </c>
      <c r="H180" s="10" t="str">
        <f ca="1">IFERROR(__xludf.DUMMYFUNCTION("""COMPUTED_VALUE"""),"junaid khan")</f>
        <v>junaid khan</v>
      </c>
    </row>
    <row r="181" spans="1:8">
      <c r="A181" s="10">
        <f ca="1">IFERROR(__xludf.DUMMYFUNCTION("""COMPUTED_VALUE"""),9)</f>
        <v>9</v>
      </c>
      <c r="B181" s="10" t="str">
        <f ca="1">IFERROR(__xludf.DUMMYFUNCTION("""COMPUTED_VALUE"""),"Khandwa")</f>
        <v>Khandwa</v>
      </c>
      <c r="C181" s="10" t="str">
        <f ca="1">IFERROR(__xludf.DUMMYFUNCTION("""COMPUTED_VALUE"""),"Khushi Shoes house")</f>
        <v>Khushi Shoes house</v>
      </c>
      <c r="D181" s="10">
        <f ca="1">IFERROR(__xludf.DUMMYFUNCTION("""COMPUTED_VALUE"""),1454741637)</f>
        <v>1454741637</v>
      </c>
      <c r="E181" s="12"/>
      <c r="F181" s="10" t="str">
        <f ca="1">IFERROR(__xludf.DUMMYFUNCTION("""COMPUTED_VALUE"""),"Speed Post Parcel Domestic")</f>
        <v>Speed Post Parcel Domestic</v>
      </c>
      <c r="G181" s="10" t="str">
        <f ca="1">IFERROR(__xludf.DUMMYFUNCTION("""COMPUTED_VALUE"""),"B2C")</f>
        <v>B2C</v>
      </c>
      <c r="H181" s="10" t="str">
        <f ca="1">IFERROR(__xludf.DUMMYFUNCTION("""COMPUTED_VALUE"""),"VINEET PATEL")</f>
        <v>VINEET PATEL</v>
      </c>
    </row>
    <row r="182" spans="1:8">
      <c r="A182" s="10">
        <f ca="1">IFERROR(__xludf.DUMMYFUNCTION("""COMPUTED_VALUE"""),10)</f>
        <v>10</v>
      </c>
      <c r="B182" s="10" t="str">
        <f ca="1">IFERROR(__xludf.DUMMYFUNCTION("""COMPUTED_VALUE"""),"Khandwa")</f>
        <v>Khandwa</v>
      </c>
      <c r="C182" s="10" t="str">
        <f ca="1">IFERROR(__xludf.DUMMYFUNCTION("""COMPUTED_VALUE"""),"AALI QADAR CLOTH STORES AND GENTS TAILORS")</f>
        <v>AALI QADAR CLOTH STORES AND GENTS TAILORS</v>
      </c>
      <c r="D182" s="10">
        <f ca="1">IFERROR(__xludf.DUMMYFUNCTION("""COMPUTED_VALUE"""),1849113146)</f>
        <v>1849113146</v>
      </c>
      <c r="E182" s="12"/>
      <c r="F182" s="10" t="str">
        <f ca="1">IFERROR(__xludf.DUMMYFUNCTION("""COMPUTED_VALUE"""),"Speed Post Parcel Domestic")</f>
        <v>Speed Post Parcel Domestic</v>
      </c>
      <c r="G182" s="10" t="str">
        <f ca="1">IFERROR(__xludf.DUMMYFUNCTION("""COMPUTED_VALUE"""),"B2C")</f>
        <v>B2C</v>
      </c>
      <c r="H182" s="10" t="str">
        <f ca="1">IFERROR(__xludf.DUMMYFUNCTION("""COMPUTED_VALUE"""),"Sunil bhojwani")</f>
        <v>Sunil bhojwani</v>
      </c>
    </row>
    <row r="183" spans="1:8">
      <c r="A183" s="10">
        <f ca="1">IFERROR(__xludf.DUMMYFUNCTION("""COMPUTED_VALUE"""),11)</f>
        <v>11</v>
      </c>
      <c r="B183" s="10" t="str">
        <f ca="1">IFERROR(__xludf.DUMMYFUNCTION("""COMPUTED_VALUE"""),"Khandwa")</f>
        <v>Khandwa</v>
      </c>
      <c r="C183" s="10" t="str">
        <f ca="1">IFERROR(__xludf.DUMMYFUNCTION("""COMPUTED_VALUE"""),"JITENDRA SISODIYA")</f>
        <v>JITENDRA SISODIYA</v>
      </c>
      <c r="D183" s="10">
        <f ca="1">IFERROR(__xludf.DUMMYFUNCTION("""COMPUTED_VALUE"""),1275942889)</f>
        <v>1275942889</v>
      </c>
      <c r="E183" s="12"/>
      <c r="F183" s="10" t="str">
        <f ca="1">IFERROR(__xludf.DUMMYFUNCTION("""COMPUTED_VALUE"""),"Speed Post Parcel Domestic")</f>
        <v>Speed Post Parcel Domestic</v>
      </c>
      <c r="G183" s="10" t="str">
        <f ca="1">IFERROR(__xludf.DUMMYFUNCTION("""COMPUTED_VALUE"""),"B2C")</f>
        <v>B2C</v>
      </c>
      <c r="H183" s="10" t="str">
        <f ca="1">IFERROR(__xludf.DUMMYFUNCTION("""COMPUTED_VALUE"""),"VINEET PATEL")</f>
        <v>VINEET PATEL</v>
      </c>
    </row>
    <row r="184" spans="1:8">
      <c r="A184" s="10">
        <f ca="1">IFERROR(__xludf.DUMMYFUNCTION("""COMPUTED_VALUE"""),12)</f>
        <v>12</v>
      </c>
      <c r="B184" s="10" t="str">
        <f ca="1">IFERROR(__xludf.DUMMYFUNCTION("""COMPUTED_VALUE"""),"Khandwa")</f>
        <v>Khandwa</v>
      </c>
      <c r="C184" s="10" t="str">
        <f ca="1">IFERROR(__xludf.DUMMYFUNCTION("""COMPUTED_VALUE"""),"S M VILLAGE ENTERPRISE")</f>
        <v>S M VILLAGE ENTERPRISE</v>
      </c>
      <c r="D184" s="10">
        <f ca="1">IFERROR(__xludf.DUMMYFUNCTION("""COMPUTED_VALUE"""),1000058717)</f>
        <v>1000058717</v>
      </c>
      <c r="E184" s="12"/>
      <c r="F184" s="10" t="str">
        <f ca="1">IFERROR(__xludf.DUMMYFUNCTION("""COMPUTED_VALUE"""),"Indiapost Parcel Contractual")</f>
        <v>Indiapost Parcel Contractual</v>
      </c>
      <c r="G184" s="10" t="str">
        <f ca="1">IFERROR(__xludf.DUMMYFUNCTION("""COMPUTED_VALUE"""),"B2C")</f>
        <v>B2C</v>
      </c>
      <c r="H184" s="10" t="str">
        <f ca="1">IFERROR(__xludf.DUMMYFUNCTION("""COMPUTED_VALUE"""),"VINEET PATEL")</f>
        <v>VINEET PATEL</v>
      </c>
    </row>
    <row r="185" spans="1:8">
      <c r="A185" s="10">
        <f ca="1">IFERROR(__xludf.DUMMYFUNCTION("""COMPUTED_VALUE"""),13)</f>
        <v>13</v>
      </c>
      <c r="B185" s="10" t="str">
        <f ca="1">IFERROR(__xludf.DUMMYFUNCTION("""COMPUTED_VALUE"""),"Khandwa")</f>
        <v>Khandwa</v>
      </c>
      <c r="C185" s="10" t="str">
        <f ca="1">IFERROR(__xludf.DUMMYFUNCTION("""COMPUTED_VALUE"""),"SHREE DATT SHOPPING CENTER")</f>
        <v>SHREE DATT SHOPPING CENTER</v>
      </c>
      <c r="D185" s="10">
        <f ca="1">IFERROR(__xludf.DUMMYFUNCTION("""COMPUTED_VALUE"""),1238780664)</f>
        <v>1238780664</v>
      </c>
      <c r="E185" s="12"/>
      <c r="F185" s="10" t="str">
        <f ca="1">IFERROR(__xludf.DUMMYFUNCTION("""COMPUTED_VALUE"""),"Indiapost Parcel Contractual")</f>
        <v>Indiapost Parcel Contractual</v>
      </c>
      <c r="G185" s="10" t="str">
        <f ca="1">IFERROR(__xludf.DUMMYFUNCTION("""COMPUTED_VALUE"""),"B2C")</f>
        <v>B2C</v>
      </c>
      <c r="H185" s="10" t="str">
        <f ca="1">IFERROR(__xludf.DUMMYFUNCTION("""COMPUTED_VALUE"""),"SANTOSH RATHORE")</f>
        <v>SANTOSH RATHORE</v>
      </c>
    </row>
    <row r="186" spans="1:8">
      <c r="A186" s="10">
        <f ca="1">IFERROR(__xludf.DUMMYFUNCTION("""COMPUTED_VALUE"""),14)</f>
        <v>14</v>
      </c>
      <c r="B186" s="10" t="str">
        <f ca="1">IFERROR(__xludf.DUMMYFUNCTION("""COMPUTED_VALUE"""),"Khandwa")</f>
        <v>Khandwa</v>
      </c>
      <c r="C186" s="10" t="str">
        <f ca="1">IFERROR(__xludf.DUMMYFUNCTION("""COMPUTED_VALUE"""),"KALPANA")</f>
        <v>KALPANA</v>
      </c>
      <c r="D186" s="10">
        <f ca="1">IFERROR(__xludf.DUMMYFUNCTION("""COMPUTED_VALUE"""),1930268816)</f>
        <v>1930268816</v>
      </c>
      <c r="E186" s="12"/>
      <c r="F186" s="10" t="str">
        <f ca="1">IFERROR(__xludf.DUMMYFUNCTION("""COMPUTED_VALUE"""),"Speed Post Parcel Domestic")</f>
        <v>Speed Post Parcel Domestic</v>
      </c>
      <c r="G186" s="10" t="str">
        <f ca="1">IFERROR(__xludf.DUMMYFUNCTION("""COMPUTED_VALUE"""),"B2C")</f>
        <v>B2C</v>
      </c>
      <c r="H186" s="10" t="str">
        <f ca="1">IFERROR(__xludf.DUMMYFUNCTION("""COMPUTED_VALUE"""),"VINEET PATEL")</f>
        <v>VINEET PATEL</v>
      </c>
    </row>
    <row r="187" spans="1:8">
      <c r="A187" s="10">
        <f ca="1">IFERROR(__xludf.DUMMYFUNCTION("""COMPUTED_VALUE"""),15)</f>
        <v>15</v>
      </c>
      <c r="B187" s="10" t="str">
        <f ca="1">IFERROR(__xludf.DUMMYFUNCTION("""COMPUTED_VALUE"""),"Khandwa")</f>
        <v>Khandwa</v>
      </c>
      <c r="C187" s="10" t="str">
        <f ca="1">IFERROR(__xludf.DUMMYFUNCTION("""COMPUTED_VALUE"""),"MANSI")</f>
        <v>MANSI</v>
      </c>
      <c r="D187" s="10">
        <f ca="1">IFERROR(__xludf.DUMMYFUNCTION("""COMPUTED_VALUE"""),1447358221)</f>
        <v>1447358221</v>
      </c>
      <c r="E187" s="12"/>
      <c r="F187" s="10" t="str">
        <f ca="1">IFERROR(__xludf.DUMMYFUNCTION("""COMPUTED_VALUE"""),"Indiapost Parcel Contractual")</f>
        <v>Indiapost Parcel Contractual</v>
      </c>
      <c r="G187" s="10" t="str">
        <f ca="1">IFERROR(__xludf.DUMMYFUNCTION("""COMPUTED_VALUE"""),"B2C")</f>
        <v>B2C</v>
      </c>
      <c r="H187" s="10" t="str">
        <f ca="1">IFERROR(__xludf.DUMMYFUNCTION("""COMPUTED_VALUE"""),"junaid khan")</f>
        <v>junaid khan</v>
      </c>
    </row>
    <row r="188" spans="1:8">
      <c r="A188" s="10">
        <f ca="1">IFERROR(__xludf.DUMMYFUNCTION("""COMPUTED_VALUE"""),16)</f>
        <v>16</v>
      </c>
      <c r="B188" s="10" t="str">
        <f ca="1">IFERROR(__xludf.DUMMYFUNCTION("""COMPUTED_VALUE"""),"Khandwa")</f>
        <v>Khandwa</v>
      </c>
      <c r="C188" s="10" t="str">
        <f ca="1">IFERROR(__xludf.DUMMYFUNCTION("""COMPUTED_VALUE"""),"AMIT PAWAR")</f>
        <v>AMIT PAWAR</v>
      </c>
      <c r="D188" s="10">
        <f ca="1">IFERROR(__xludf.DUMMYFUNCTION("""COMPUTED_VALUE"""),1889529538)</f>
        <v>1889529538</v>
      </c>
      <c r="E188" s="12"/>
      <c r="F188" s="10" t="str">
        <f ca="1">IFERROR(__xludf.DUMMYFUNCTION("""COMPUTED_VALUE"""),"Speed Post Parcel Domestic")</f>
        <v>Speed Post Parcel Domestic</v>
      </c>
      <c r="G188" s="10" t="str">
        <f ca="1">IFERROR(__xludf.DUMMYFUNCTION("""COMPUTED_VALUE"""),"B2C")</f>
        <v>B2C</v>
      </c>
      <c r="H188" s="10" t="str">
        <f ca="1">IFERROR(__xludf.DUMMYFUNCTION("""COMPUTED_VALUE"""),"VINEET PATEL")</f>
        <v>VINEET PATEL</v>
      </c>
    </row>
    <row r="189" spans="1:8">
      <c r="A189" s="10">
        <f ca="1">IFERROR(__xludf.DUMMYFUNCTION("""COMPUTED_VALUE"""),17)</f>
        <v>17</v>
      </c>
      <c r="B189" s="10" t="str">
        <f ca="1">IFERROR(__xludf.DUMMYFUNCTION("""COMPUTED_VALUE"""),"Khandwa")</f>
        <v>Khandwa</v>
      </c>
      <c r="C189" s="10" t="str">
        <f ca="1">IFERROR(__xludf.DUMMYFUNCTION("""COMPUTED_VALUE"""),"FIRST IMPRESSION GIRLS AND KIDS WEAR")</f>
        <v>FIRST IMPRESSION GIRLS AND KIDS WEAR</v>
      </c>
      <c r="D189" s="10">
        <f ca="1">IFERROR(__xludf.DUMMYFUNCTION("""COMPUTED_VALUE"""),1519711339)</f>
        <v>1519711339</v>
      </c>
      <c r="E189" s="12"/>
      <c r="F189" s="10" t="str">
        <f ca="1">IFERROR(__xludf.DUMMYFUNCTION("""COMPUTED_VALUE"""),"Speed Post")</f>
        <v>Speed Post</v>
      </c>
      <c r="G189" s="10" t="str">
        <f ca="1">IFERROR(__xludf.DUMMYFUNCTION("""COMPUTED_VALUE"""),"B2C")</f>
        <v>B2C</v>
      </c>
      <c r="H189" s="10" t="str">
        <f ca="1">IFERROR(__xludf.DUMMYFUNCTION("""COMPUTED_VALUE"""),"Sunil bhojwani")</f>
        <v>Sunil bhojwani</v>
      </c>
    </row>
    <row r="190" spans="1:8">
      <c r="A190" s="10">
        <f ca="1">IFERROR(__xludf.DUMMYFUNCTION("""COMPUTED_VALUE"""),18)</f>
        <v>18</v>
      </c>
      <c r="B190" s="10" t="str">
        <f ca="1">IFERROR(__xludf.DUMMYFUNCTION("""COMPUTED_VALUE"""),"Khandwa")</f>
        <v>Khandwa</v>
      </c>
      <c r="C190" s="10" t="str">
        <f ca="1">IFERROR(__xludf.DUMMYFUNCTION("""COMPUTED_VALUE"""),"SHREE KAILASHPATI TEXTILES")</f>
        <v>SHREE KAILASHPATI TEXTILES</v>
      </c>
      <c r="D190" s="10">
        <f ca="1">IFERROR(__xludf.DUMMYFUNCTION("""COMPUTED_VALUE"""),1477194337)</f>
        <v>1477194337</v>
      </c>
      <c r="E190" s="12"/>
      <c r="F190" s="10" t="str">
        <f ca="1">IFERROR(__xludf.DUMMYFUNCTION("""COMPUTED_VALUE"""),"Speed Post")</f>
        <v>Speed Post</v>
      </c>
      <c r="G190" s="10" t="str">
        <f ca="1">IFERROR(__xludf.DUMMYFUNCTION("""COMPUTED_VALUE"""),"B2C")</f>
        <v>B2C</v>
      </c>
      <c r="H190" s="10" t="str">
        <f ca="1">IFERROR(__xludf.DUMMYFUNCTION("""COMPUTED_VALUE"""),"sunil bhojwani")</f>
        <v>sunil bhojwani</v>
      </c>
    </row>
    <row r="191" spans="1:8">
      <c r="A191" s="10">
        <f ca="1">IFERROR(__xludf.DUMMYFUNCTION("""COMPUTED_VALUE"""),19)</f>
        <v>19</v>
      </c>
      <c r="B191" s="10" t="str">
        <f ca="1">IFERROR(__xludf.DUMMYFUNCTION("""COMPUTED_VALUE"""),"Khandwa")</f>
        <v>Khandwa</v>
      </c>
      <c r="C191" s="10" t="str">
        <f ca="1">IFERROR(__xludf.DUMMYFUNCTION("""COMPUTED_VALUE"""),"KAWAD SWAD UDHYAG")</f>
        <v>KAWAD SWAD UDHYAG</v>
      </c>
      <c r="D191" s="10">
        <f ca="1">IFERROR(__xludf.DUMMYFUNCTION("""COMPUTED_VALUE"""),1270706812)</f>
        <v>1270706812</v>
      </c>
      <c r="E191" s="12"/>
      <c r="F191" s="10" t="str">
        <f ca="1">IFERROR(__xludf.DUMMYFUNCTION("""COMPUTED_VALUE"""),"Speed Post Parcel Domestic")</f>
        <v>Speed Post Parcel Domestic</v>
      </c>
      <c r="G191" s="10" t="str">
        <f ca="1">IFERROR(__xludf.DUMMYFUNCTION("""COMPUTED_VALUE"""),"B2C")</f>
        <v>B2C</v>
      </c>
      <c r="H191" s="10" t="str">
        <f ca="1">IFERROR(__xludf.DUMMYFUNCTION("""COMPUTED_VALUE"""),"VINEET PATEL")</f>
        <v>VINEET PATEL</v>
      </c>
    </row>
    <row r="192" spans="1:8">
      <c r="A192" s="10">
        <f ca="1">IFERROR(__xludf.DUMMYFUNCTION("""COMPUTED_VALUE"""),20)</f>
        <v>20</v>
      </c>
      <c r="B192" s="10" t="str">
        <f ca="1">IFERROR(__xludf.DUMMYFUNCTION("""COMPUTED_VALUE"""),"Khandwa")</f>
        <v>Khandwa</v>
      </c>
      <c r="C192" s="10" t="str">
        <f ca="1">IFERROR(__xludf.DUMMYFUNCTION("""COMPUTED_VALUE"""),"KAMLESH PATEL")</f>
        <v>KAMLESH PATEL</v>
      </c>
      <c r="D192" s="10">
        <f ca="1">IFERROR(__xludf.DUMMYFUNCTION("""COMPUTED_VALUE"""),1963445290)</f>
        <v>1963445290</v>
      </c>
      <c r="E192" s="12"/>
      <c r="F192" s="10" t="str">
        <f ca="1">IFERROR(__xludf.DUMMYFUNCTION("""COMPUTED_VALUE"""),"Speed Post Parcel Domestic")</f>
        <v>Speed Post Parcel Domestic</v>
      </c>
      <c r="G192" s="10" t="str">
        <f ca="1">IFERROR(__xludf.DUMMYFUNCTION("""COMPUTED_VALUE"""),"B2C")</f>
        <v>B2C</v>
      </c>
      <c r="H192" s="10" t="str">
        <f ca="1">IFERROR(__xludf.DUMMYFUNCTION("""COMPUTED_VALUE"""),"junaid khan")</f>
        <v>junaid khan</v>
      </c>
    </row>
    <row r="193" spans="1:8">
      <c r="A193" s="10">
        <f ca="1">IFERROR(__xludf.DUMMYFUNCTION("""COMPUTED_VALUE"""),21)</f>
        <v>21</v>
      </c>
      <c r="B193" s="10" t="str">
        <f ca="1">IFERROR(__xludf.DUMMYFUNCTION("""COMPUTED_VALUE"""),"Khandwa")</f>
        <v>Khandwa</v>
      </c>
      <c r="C193" s="10" t="str">
        <f ca="1">IFERROR(__xludf.DUMMYFUNCTION("""COMPUTED_VALUE"""),"BADSHAH ARMY STORE")</f>
        <v>BADSHAH ARMY STORE</v>
      </c>
      <c r="D193" s="10">
        <f ca="1">IFERROR(__xludf.DUMMYFUNCTION("""COMPUTED_VALUE"""),1324541914)</f>
        <v>1324541914</v>
      </c>
      <c r="E193" s="12"/>
      <c r="F193" s="10" t="str">
        <f ca="1">IFERROR(__xludf.DUMMYFUNCTION("""COMPUTED_VALUE"""),"Speed Post Parcel Domestic")</f>
        <v>Speed Post Parcel Domestic</v>
      </c>
      <c r="G193" s="10" t="str">
        <f ca="1">IFERROR(__xludf.DUMMYFUNCTION("""COMPUTED_VALUE"""),"B2C")</f>
        <v>B2C</v>
      </c>
      <c r="H193" s="10" t="str">
        <f ca="1">IFERROR(__xludf.DUMMYFUNCTION("""COMPUTED_VALUE"""),"VINEET PATEL")</f>
        <v>VINEET PATEL</v>
      </c>
    </row>
    <row r="194" spans="1:8">
      <c r="A194" s="10">
        <f ca="1">IFERROR(__xludf.DUMMYFUNCTION("""COMPUTED_VALUE"""),22)</f>
        <v>22</v>
      </c>
      <c r="B194" s="10" t="str">
        <f ca="1">IFERROR(__xludf.DUMMYFUNCTION("""COMPUTED_VALUE"""),"Khandwa")</f>
        <v>Khandwa</v>
      </c>
      <c r="C194" s="10" t="str">
        <f ca="1">IFERROR(__xludf.DUMMYFUNCTION("""COMPUTED_VALUE"""),"NEERVI CREATIONS")</f>
        <v>NEERVI CREATIONS</v>
      </c>
      <c r="D194" s="10">
        <f ca="1">IFERROR(__xludf.DUMMYFUNCTION("""COMPUTED_VALUE"""),1000060767)</f>
        <v>1000060767</v>
      </c>
      <c r="E194" s="12"/>
      <c r="F194" s="10" t="str">
        <f ca="1">IFERROR(__xludf.DUMMYFUNCTION("""COMPUTED_VALUE"""),"International Tracked Packet Service")</f>
        <v>International Tracked Packet Service</v>
      </c>
      <c r="G194" s="10" t="str">
        <f ca="1">IFERROR(__xludf.DUMMYFUNCTION("""COMPUTED_VALUE"""),"B2C")</f>
        <v>B2C</v>
      </c>
      <c r="H194" s="10" t="str">
        <f ca="1">IFERROR(__xludf.DUMMYFUNCTION("""COMPUTED_VALUE"""),"sunil bhojwani")</f>
        <v>sunil bhojwani</v>
      </c>
    </row>
    <row r="195" spans="1:8">
      <c r="A195" s="10">
        <f ca="1">IFERROR(__xludf.DUMMYFUNCTION("""COMPUTED_VALUE"""),23)</f>
        <v>23</v>
      </c>
      <c r="B195" s="10" t="str">
        <f ca="1">IFERROR(__xludf.DUMMYFUNCTION("""COMPUTED_VALUE"""),"Khandwa")</f>
        <v>Khandwa</v>
      </c>
      <c r="C195" s="10" t="str">
        <f ca="1">IFERROR(__xludf.DUMMYFUNCTION("""COMPUTED_VALUE"""),"style n sew")</f>
        <v>style n sew</v>
      </c>
      <c r="D195" s="10">
        <f ca="1">IFERROR(__xludf.DUMMYFUNCTION("""COMPUTED_VALUE"""),1621178522)</f>
        <v>1621178522</v>
      </c>
      <c r="E195" s="12"/>
      <c r="F195" s="10" t="str">
        <f ca="1">IFERROR(__xludf.DUMMYFUNCTION("""COMPUTED_VALUE"""),"Speed Post Parcel Domestic")</f>
        <v>Speed Post Parcel Domestic</v>
      </c>
      <c r="G195" s="10" t="str">
        <f ca="1">IFERROR(__xludf.DUMMYFUNCTION("""COMPUTED_VALUE"""),"B2C")</f>
        <v>B2C</v>
      </c>
      <c r="H195" s="10" t="str">
        <f ca="1">IFERROR(__xludf.DUMMYFUNCTION("""COMPUTED_VALUE"""),"VINEET PATEL")</f>
        <v>VINEET PATEL</v>
      </c>
    </row>
    <row r="196" spans="1:8">
      <c r="A196" s="10">
        <f ca="1">IFERROR(__xludf.DUMMYFUNCTION("""COMPUTED_VALUE"""),24)</f>
        <v>24</v>
      </c>
      <c r="B196" s="10" t="str">
        <f ca="1">IFERROR(__xludf.DUMMYFUNCTION("""COMPUTED_VALUE"""),"Khandwa")</f>
        <v>Khandwa</v>
      </c>
      <c r="C196" s="10" t="str">
        <f ca="1">IFERROR(__xludf.DUMMYFUNCTION("""COMPUTED_VALUE"""),"DR C V RAMAN UNIVERSITY KHANDWA")</f>
        <v>DR C V RAMAN UNIVERSITY KHANDWA</v>
      </c>
      <c r="D196" s="10">
        <f ca="1">IFERROR(__xludf.DUMMYFUNCTION("""COMPUTED_VALUE"""),1686469759)</f>
        <v>1686469759</v>
      </c>
      <c r="E196" s="12"/>
      <c r="F196" s="10" t="str">
        <f ca="1">IFERROR(__xludf.DUMMYFUNCTION("""COMPUTED_VALUE"""),"Speed Post")</f>
        <v>Speed Post</v>
      </c>
      <c r="G196" s="10" t="str">
        <f ca="1">IFERROR(__xludf.DUMMYFUNCTION("""COMPUTED_VALUE"""),"B2C")</f>
        <v>B2C</v>
      </c>
      <c r="H196" s="10" t="str">
        <f ca="1">IFERROR(__xludf.DUMMYFUNCTION("""COMPUTED_VALUE"""),"junaid khan")</f>
        <v>junaid khan</v>
      </c>
    </row>
    <row r="197" spans="1:8">
      <c r="A197" s="10">
        <f ca="1">IFERROR(__xludf.DUMMYFUNCTION("""COMPUTED_VALUE"""),25)</f>
        <v>25</v>
      </c>
      <c r="B197" s="10" t="str">
        <f ca="1">IFERROR(__xludf.DUMMYFUNCTION("""COMPUTED_VALUE"""),"Khandwa")</f>
        <v>Khandwa</v>
      </c>
      <c r="C197" s="10" t="str">
        <f ca="1">IFERROR(__xludf.DUMMYFUNCTION("""COMPUTED_VALUE"""),"GRAH SHOBHA BHIKANGAON")</f>
        <v>GRAH SHOBHA BHIKANGAON</v>
      </c>
      <c r="D197" s="10">
        <f ca="1">IFERROR(__xludf.DUMMYFUNCTION("""COMPUTED_VALUE"""),1424187247)</f>
        <v>1424187247</v>
      </c>
      <c r="E197" s="12"/>
      <c r="F197" s="10" t="str">
        <f ca="1">IFERROR(__xludf.DUMMYFUNCTION("""COMPUTED_VALUE"""),"Speed Post Parcel Domestic")</f>
        <v>Speed Post Parcel Domestic</v>
      </c>
      <c r="G197" s="10" t="str">
        <f ca="1">IFERROR(__xludf.DUMMYFUNCTION("""COMPUTED_VALUE"""),"B2C")</f>
        <v>B2C</v>
      </c>
      <c r="H197" s="10" t="str">
        <f ca="1">IFERROR(__xludf.DUMMYFUNCTION("""COMPUTED_VALUE"""),"VINEET PATEL")</f>
        <v>VINEET PATEL</v>
      </c>
    </row>
    <row r="198" spans="1:8">
      <c r="A198" s="10">
        <f ca="1">IFERROR(__xludf.DUMMYFUNCTION("""COMPUTED_VALUE"""),26)</f>
        <v>26</v>
      </c>
      <c r="B198" s="10" t="str">
        <f ca="1">IFERROR(__xludf.DUMMYFUNCTION("""COMPUTED_VALUE"""),"Khandwa")</f>
        <v>Khandwa</v>
      </c>
      <c r="C198" s="10" t="str">
        <f ca="1">IFERROR(__xludf.DUMMYFUNCTION("""COMPUTED_VALUE"""),"KALYANI YADAV MACHHALGAON GOGAWA")</f>
        <v>KALYANI YADAV MACHHALGAON GOGAWA</v>
      </c>
      <c r="D198" s="10">
        <f ca="1">IFERROR(__xludf.DUMMYFUNCTION("""COMPUTED_VALUE"""),1281703229)</f>
        <v>1281703229</v>
      </c>
      <c r="E198" s="12"/>
      <c r="F198" s="10" t="str">
        <f ca="1">IFERROR(__xludf.DUMMYFUNCTION("""COMPUTED_VALUE"""),"Indiapost Parcel Contractual")</f>
        <v>Indiapost Parcel Contractual</v>
      </c>
      <c r="G198" s="10" t="str">
        <f ca="1">IFERROR(__xludf.DUMMYFUNCTION("""COMPUTED_VALUE"""),"B2C")</f>
        <v>B2C</v>
      </c>
      <c r="H198" s="10" t="str">
        <f ca="1">IFERROR(__xludf.DUMMYFUNCTION("""COMPUTED_VALUE"""),"VINEET PATEL")</f>
        <v>VINEET PATEL</v>
      </c>
    </row>
    <row r="199" spans="1:8">
      <c r="A199" s="10">
        <f ca="1">IFERROR(__xludf.DUMMYFUNCTION("""COMPUTED_VALUE"""),27)</f>
        <v>27</v>
      </c>
      <c r="B199" s="10" t="str">
        <f ca="1">IFERROR(__xludf.DUMMYFUNCTION("""COMPUTED_VALUE"""),"Khandwa")</f>
        <v>Khandwa</v>
      </c>
      <c r="C199" s="10" t="str">
        <f ca="1">IFERROR(__xludf.DUMMYFUNCTION("""COMPUTED_VALUE"""),"CENTRAL BANK OF INDIA KHARGONE")</f>
        <v>CENTRAL BANK OF INDIA KHARGONE</v>
      </c>
      <c r="D199" s="10">
        <f ca="1">IFERROR(__xludf.DUMMYFUNCTION("""COMPUTED_VALUE"""),1614052366)</f>
        <v>1614052366</v>
      </c>
      <c r="E199" s="12"/>
      <c r="F199" s="10" t="str">
        <f ca="1">IFERROR(__xludf.DUMMYFUNCTION("""COMPUTED_VALUE"""),"Speed Post")</f>
        <v>Speed Post</v>
      </c>
      <c r="G199" s="10" t="str">
        <f ca="1">IFERROR(__xludf.DUMMYFUNCTION("""COMPUTED_VALUE"""),"B2C")</f>
        <v>B2C</v>
      </c>
      <c r="H199" s="10" t="str">
        <f ca="1">IFERROR(__xludf.DUMMYFUNCTION("""COMPUTED_VALUE"""),"VINEET PATEL")</f>
        <v>VINEET PATEL</v>
      </c>
    </row>
    <row r="200" spans="1:8">
      <c r="A200" s="10">
        <f ca="1">IFERROR(__xludf.DUMMYFUNCTION("""COMPUTED_VALUE"""),28)</f>
        <v>28</v>
      </c>
      <c r="B200" s="10" t="str">
        <f ca="1">IFERROR(__xludf.DUMMYFUNCTION("""COMPUTED_VALUE"""),"Khandwa")</f>
        <v>Khandwa</v>
      </c>
      <c r="C200" s="10" t="str">
        <f ca="1">IFERROR(__xludf.DUMMYFUNCTION("""COMPUTED_VALUE"""),"SINGHANIA TEXTILES BURHANPUR")</f>
        <v>SINGHANIA TEXTILES BURHANPUR</v>
      </c>
      <c r="D200" s="10">
        <f ca="1">IFERROR(__xludf.DUMMYFUNCTION("""COMPUTED_VALUE"""),1991001944)</f>
        <v>1991001944</v>
      </c>
      <c r="E200" s="12"/>
      <c r="F200" s="10" t="str">
        <f ca="1">IFERROR(__xludf.DUMMYFUNCTION("""COMPUTED_VALUE"""),"Speed Post")</f>
        <v>Speed Post</v>
      </c>
      <c r="G200" s="10" t="str">
        <f ca="1">IFERROR(__xludf.DUMMYFUNCTION("""COMPUTED_VALUE"""),"B2C")</f>
        <v>B2C</v>
      </c>
      <c r="H200" s="10" t="str">
        <f ca="1">IFERROR(__xludf.DUMMYFUNCTION("""COMPUTED_VALUE"""),"sunil bhojwani")</f>
        <v>sunil bhojwani</v>
      </c>
    </row>
    <row r="201" spans="1:8">
      <c r="A201" s="10">
        <f ca="1">IFERROR(__xludf.DUMMYFUNCTION("""COMPUTED_VALUE"""),29)</f>
        <v>29</v>
      </c>
      <c r="B201" s="10" t="str">
        <f ca="1">IFERROR(__xludf.DUMMYFUNCTION("""COMPUTED_VALUE"""),"Khandwa")</f>
        <v>Khandwa</v>
      </c>
      <c r="C201" s="10" t="str">
        <f ca="1">IFERROR(__xludf.DUMMYFUNCTION("""COMPUTED_VALUE"""),"MOHAMMADI INVTETION AND LADIES GARMENTS BARWANI")</f>
        <v>MOHAMMADI INVTETION AND LADIES GARMENTS BARWANI</v>
      </c>
      <c r="D201" s="10">
        <f ca="1">IFERROR(__xludf.DUMMYFUNCTION("""COMPUTED_VALUE"""),1413452656)</f>
        <v>1413452656</v>
      </c>
      <c r="E201" s="12"/>
      <c r="F201" s="10" t="str">
        <f ca="1">IFERROR(__xludf.DUMMYFUNCTION("""COMPUTED_VALUE"""),"Indiapost Parcel Contractual")</f>
        <v>Indiapost Parcel Contractual</v>
      </c>
      <c r="G201" s="10" t="str">
        <f ca="1">IFERROR(__xludf.DUMMYFUNCTION("""COMPUTED_VALUE"""),"B2C")</f>
        <v>B2C</v>
      </c>
      <c r="H201" s="10" t="str">
        <f ca="1">IFERROR(__xludf.DUMMYFUNCTION("""COMPUTED_VALUE"""),"SANTOSH RATHORE")</f>
        <v>SANTOSH RATHORE</v>
      </c>
    </row>
    <row r="202" spans="1:8">
      <c r="A202" s="10">
        <f ca="1">IFERROR(__xludf.DUMMYFUNCTION("""COMPUTED_VALUE"""),30)</f>
        <v>30</v>
      </c>
      <c r="B202" s="10" t="str">
        <f ca="1">IFERROR(__xludf.DUMMYFUNCTION("""COMPUTED_VALUE"""),"Khandwa")</f>
        <v>Khandwa</v>
      </c>
      <c r="C202" s="10" t="str">
        <f ca="1">IFERROR(__xludf.DUMMYFUNCTION("""COMPUTED_VALUE"""),"SHAKUMBHRI HERBALS PRIVATE LIMITED KHANDWA")</f>
        <v>SHAKUMBHRI HERBALS PRIVATE LIMITED KHANDWA</v>
      </c>
      <c r="D202" s="10">
        <f ca="1">IFERROR(__xludf.DUMMYFUNCTION("""COMPUTED_VALUE"""),1676312873)</f>
        <v>1676312873</v>
      </c>
      <c r="E202" s="12"/>
      <c r="F202" s="10" t="str">
        <f ca="1">IFERROR(__xludf.DUMMYFUNCTION("""COMPUTED_VALUE"""),"Speed Post Parcel Domestic")</f>
        <v>Speed Post Parcel Domestic</v>
      </c>
      <c r="G202" s="10" t="str">
        <f ca="1">IFERROR(__xludf.DUMMYFUNCTION("""COMPUTED_VALUE"""),"B2C")</f>
        <v>B2C</v>
      </c>
      <c r="H202" s="10" t="str">
        <f ca="1">IFERROR(__xludf.DUMMYFUNCTION("""COMPUTED_VALUE"""),"JUNAId khan")</f>
        <v>JUNAId khan</v>
      </c>
    </row>
    <row r="203" spans="1:8">
      <c r="A203" s="10">
        <f ca="1">IFERROR(__xludf.DUMMYFUNCTION("""COMPUTED_VALUE"""),31)</f>
        <v>31</v>
      </c>
      <c r="B203" s="10" t="str">
        <f ca="1">IFERROR(__xludf.DUMMYFUNCTION("""COMPUTED_VALUE"""),"Khandwa")</f>
        <v>Khandwa</v>
      </c>
      <c r="C203" s="10" t="str">
        <f ca="1">IFERROR(__xludf.DUMMYFUNCTION("""COMPUTED_VALUE"""),"ESSKEETIT BISTAN")</f>
        <v>ESSKEETIT BISTAN</v>
      </c>
      <c r="D203" s="10">
        <f ca="1">IFERROR(__xludf.DUMMYFUNCTION("""COMPUTED_VALUE"""),1233748797)</f>
        <v>1233748797</v>
      </c>
      <c r="E203" s="12"/>
      <c r="F203" s="10" t="str">
        <f ca="1">IFERROR(__xludf.DUMMYFUNCTION("""COMPUTED_VALUE"""),"Registered Mails")</f>
        <v>Registered Mails</v>
      </c>
      <c r="G203" s="10" t="str">
        <f ca="1">IFERROR(__xludf.DUMMYFUNCTION("""COMPUTED_VALUE"""),"B2C")</f>
        <v>B2C</v>
      </c>
      <c r="H203" s="10" t="str">
        <f ca="1">IFERROR(__xludf.DUMMYFUNCTION("""COMPUTED_VALUE"""),"VINEET PATEL")</f>
        <v>VINEET PATEL</v>
      </c>
    </row>
    <row r="204" spans="1:8">
      <c r="A204" s="10">
        <f ca="1">IFERROR(__xludf.DUMMYFUNCTION("""COMPUTED_VALUE"""),32)</f>
        <v>32</v>
      </c>
      <c r="B204" s="10" t="str">
        <f ca="1">IFERROR(__xludf.DUMMYFUNCTION("""COMPUTED_VALUE"""),"Khandwa")</f>
        <v>Khandwa</v>
      </c>
      <c r="C204" s="10" t="str">
        <f ca="1">IFERROR(__xludf.DUMMYFUNCTION("""COMPUTED_VALUE"""),"DURGA TRADERS BURHANPUR")</f>
        <v>DURGA TRADERS BURHANPUR</v>
      </c>
      <c r="D204" s="10">
        <f ca="1">IFERROR(__xludf.DUMMYFUNCTION("""COMPUTED_VALUE"""),1164532761)</f>
        <v>1164532761</v>
      </c>
      <c r="E204" s="12"/>
      <c r="F204" s="10" t="str">
        <f ca="1">IFERROR(__xludf.DUMMYFUNCTION("""COMPUTED_VALUE"""),"Speed Post")</f>
        <v>Speed Post</v>
      </c>
      <c r="G204" s="10" t="str">
        <f ca="1">IFERROR(__xludf.DUMMYFUNCTION("""COMPUTED_VALUE"""),"B2C")</f>
        <v>B2C</v>
      </c>
      <c r="H204" s="10" t="str">
        <f ca="1">IFERROR(__xludf.DUMMYFUNCTION("""COMPUTED_VALUE"""),"sunil bhojwani")</f>
        <v>sunil bhojwani</v>
      </c>
    </row>
    <row r="205" spans="1:8">
      <c r="A205" s="10">
        <f ca="1">IFERROR(__xludf.DUMMYFUNCTION("""COMPUTED_VALUE"""),33)</f>
        <v>33</v>
      </c>
      <c r="B205" s="10" t="str">
        <f ca="1">IFERROR(__xludf.DUMMYFUNCTION("""COMPUTED_VALUE"""),"Khandwa")</f>
        <v>Khandwa</v>
      </c>
      <c r="C205" s="10" t="str">
        <f ca="1">IFERROR(__xludf.DUMMYFUNCTION("""COMPUTED_VALUE"""),"BIGMONEY WALLET INVESTMENT PRIVATE LIMITED KARHI")</f>
        <v>BIGMONEY WALLET INVESTMENT PRIVATE LIMITED KARHI</v>
      </c>
      <c r="D205" s="10">
        <f ca="1">IFERROR(__xludf.DUMMYFUNCTION("""COMPUTED_VALUE"""),1642960971)</f>
        <v>1642960971</v>
      </c>
      <c r="E205" s="12"/>
      <c r="F205" s="10" t="str">
        <f ca="1">IFERROR(__xludf.DUMMYFUNCTION("""COMPUTED_VALUE"""),"Indiapost Parcel Contractual")</f>
        <v>Indiapost Parcel Contractual</v>
      </c>
      <c r="G205" s="10" t="str">
        <f ca="1">IFERROR(__xludf.DUMMYFUNCTION("""COMPUTED_VALUE"""),"B2C")</f>
        <v>B2C</v>
      </c>
      <c r="H205" s="10" t="str">
        <f ca="1">IFERROR(__xludf.DUMMYFUNCTION("""COMPUTED_VALUE"""),"VINEET PATEL")</f>
        <v>VINEET PATEL</v>
      </c>
    </row>
    <row r="206" spans="1:8">
      <c r="A206" s="10">
        <f ca="1">IFERROR(__xludf.DUMMYFUNCTION("""COMPUTED_VALUE"""),34)</f>
        <v>34</v>
      </c>
      <c r="B206" s="10" t="str">
        <f ca="1">IFERROR(__xludf.DUMMYFUNCTION("""COMPUTED_VALUE"""),"Khandwa")</f>
        <v>Khandwa</v>
      </c>
      <c r="C206" s="10" t="str">
        <f ca="1">IFERROR(__xludf.DUMMYFUNCTION("""COMPUTED_VALUE"""),"MARKETING MANTRA SOLUTIONS BURHANPUR")</f>
        <v>MARKETING MANTRA SOLUTIONS BURHANPUR</v>
      </c>
      <c r="D206" s="10">
        <f ca="1">IFERROR(__xludf.DUMMYFUNCTION("""COMPUTED_VALUE"""),1900866022)</f>
        <v>1900866022</v>
      </c>
      <c r="E206" s="12"/>
      <c r="F206" s="10" t="str">
        <f ca="1">IFERROR(__xludf.DUMMYFUNCTION("""COMPUTED_VALUE"""),"Registered Mails")</f>
        <v>Registered Mails</v>
      </c>
      <c r="G206" s="10" t="str">
        <f ca="1">IFERROR(__xludf.DUMMYFUNCTION("""COMPUTED_VALUE"""),"B2C")</f>
        <v>B2C</v>
      </c>
      <c r="H206" s="10" t="str">
        <f ca="1">IFERROR(__xludf.DUMMYFUNCTION("""COMPUTED_VALUE"""),"sunil bhojwani")</f>
        <v>sunil bhojwani</v>
      </c>
    </row>
    <row r="207" spans="1:8">
      <c r="A207" s="10">
        <f ca="1">IFERROR(__xludf.DUMMYFUNCTION("""COMPUTED_VALUE"""),35)</f>
        <v>35</v>
      </c>
      <c r="B207" s="10" t="str">
        <f ca="1">IFERROR(__xludf.DUMMYFUNCTION("""COMPUTED_VALUE"""),"Khandwa")</f>
        <v>Khandwa</v>
      </c>
      <c r="C207" s="10" t="str">
        <f ca="1">IFERROR(__xludf.DUMMYFUNCTION("""COMPUTED_VALUE"""),"VEDSUTRA ECO ORGENICS JALKUWA")</f>
        <v>VEDSUTRA ECO ORGENICS JALKUWA</v>
      </c>
      <c r="D207" s="10">
        <f ca="1">IFERROR(__xludf.DUMMYFUNCTION("""COMPUTED_VALUE"""),1930125183)</f>
        <v>1930125183</v>
      </c>
      <c r="E207" s="12"/>
      <c r="F207" s="10" t="str">
        <f ca="1">IFERROR(__xludf.DUMMYFUNCTION("""COMPUTED_VALUE"""),"Registered Mails")</f>
        <v>Registered Mails</v>
      </c>
      <c r="G207" s="10" t="str">
        <f ca="1">IFERROR(__xludf.DUMMYFUNCTION("""COMPUTED_VALUE"""),"B2C")</f>
        <v>B2C</v>
      </c>
      <c r="H207" s="10" t="str">
        <f ca="1">IFERROR(__xludf.DUMMYFUNCTION("""COMPUTED_VALUE"""),"junaid khan")</f>
        <v>junaid khan</v>
      </c>
    </row>
    <row r="208" spans="1:8">
      <c r="A208" s="10">
        <f ca="1">IFERROR(__xludf.DUMMYFUNCTION("""COMPUTED_VALUE"""),36)</f>
        <v>36</v>
      </c>
      <c r="B208" s="10" t="str">
        <f ca="1">IFERROR(__xludf.DUMMYFUNCTION("""COMPUTED_VALUE"""),"Khandwa")</f>
        <v>Khandwa</v>
      </c>
      <c r="C208" s="10" t="str">
        <f ca="1">IFERROR(__xludf.DUMMYFUNCTION("""COMPUTED_VALUE"""),"FASHION HUB MENS WEAR KHANDWA")</f>
        <v>FASHION HUB MENS WEAR KHANDWA</v>
      </c>
      <c r="D208" s="10">
        <f ca="1">IFERROR(__xludf.DUMMYFUNCTION("""COMPUTED_VALUE"""),1120075880)</f>
        <v>1120075880</v>
      </c>
      <c r="E208" s="12"/>
      <c r="F208" s="10" t="str">
        <f ca="1">IFERROR(__xludf.DUMMYFUNCTION("""COMPUTED_VALUE"""),"Registered Mails")</f>
        <v>Registered Mails</v>
      </c>
      <c r="G208" s="10" t="str">
        <f ca="1">IFERROR(__xludf.DUMMYFUNCTION("""COMPUTED_VALUE"""),"B2C")</f>
        <v>B2C</v>
      </c>
      <c r="H208" s="10" t="str">
        <f ca="1">IFERROR(__xludf.DUMMYFUNCTION("""COMPUTED_VALUE"""),"junaid khan")</f>
        <v>junaid khan</v>
      </c>
    </row>
    <row r="209" spans="1:8">
      <c r="A209" s="10">
        <f ca="1">IFERROR(__xludf.DUMMYFUNCTION("""COMPUTED_VALUE"""),37)</f>
        <v>37</v>
      </c>
      <c r="B209" s="10" t="str">
        <f ca="1">IFERROR(__xludf.DUMMYFUNCTION("""COMPUTED_VALUE"""),"Khandwa")</f>
        <v>Khandwa</v>
      </c>
      <c r="C209" s="10" t="str">
        <f ca="1">IFERROR(__xludf.DUMMYFUNCTION("""COMPUTED_VALUE"""),"SHRI VINAYAK MILLS BURHANPUR")</f>
        <v>SHRI VINAYAK MILLS BURHANPUR</v>
      </c>
      <c r="D209" s="10">
        <f ca="1">IFERROR(__xludf.DUMMYFUNCTION("""COMPUTED_VALUE"""),1502534242)</f>
        <v>1502534242</v>
      </c>
      <c r="E209" s="12"/>
      <c r="F209" s="10" t="str">
        <f ca="1">IFERROR(__xludf.DUMMYFUNCTION("""COMPUTED_VALUE"""),"Speed Post")</f>
        <v>Speed Post</v>
      </c>
      <c r="G209" s="10" t="str">
        <f ca="1">IFERROR(__xludf.DUMMYFUNCTION("""COMPUTED_VALUE"""),"B2C")</f>
        <v>B2C</v>
      </c>
      <c r="H209" s="10" t="str">
        <f ca="1">IFERROR(__xludf.DUMMYFUNCTION("""COMPUTED_VALUE"""),"sunil bhojwani")</f>
        <v>sunil bhojwani</v>
      </c>
    </row>
    <row r="210" spans="1:8">
      <c r="A210" s="10">
        <f ca="1">IFERROR(__xludf.DUMMYFUNCTION("""COMPUTED_VALUE"""),38)</f>
        <v>38</v>
      </c>
      <c r="B210" s="10" t="str">
        <f ca="1">IFERROR(__xludf.DUMMYFUNCTION("""COMPUTED_VALUE"""),"Khandwa")</f>
        <v>Khandwa</v>
      </c>
      <c r="C210" s="10" t="str">
        <f ca="1">IFERROR(__xludf.DUMMYFUNCTION("""COMPUTED_VALUE"""),"BHARAT TEXTILES BURHANPUR")</f>
        <v>BHARAT TEXTILES BURHANPUR</v>
      </c>
      <c r="D210" s="10">
        <f ca="1">IFERROR(__xludf.DUMMYFUNCTION("""COMPUTED_VALUE"""),1862794733)</f>
        <v>1862794733</v>
      </c>
      <c r="E210" s="12"/>
      <c r="F210" s="10" t="str">
        <f ca="1">IFERROR(__xludf.DUMMYFUNCTION("""COMPUTED_VALUE"""),"Speed Post")</f>
        <v>Speed Post</v>
      </c>
      <c r="G210" s="10" t="str">
        <f ca="1">IFERROR(__xludf.DUMMYFUNCTION("""COMPUTED_VALUE"""),"B2C")</f>
        <v>B2C</v>
      </c>
      <c r="H210" s="10" t="str">
        <f ca="1">IFERROR(__xludf.DUMMYFUNCTION("""COMPUTED_VALUE"""),"sunil bhojwani")</f>
        <v>sunil bhojwani</v>
      </c>
    </row>
    <row r="211" spans="1:8">
      <c r="A211" s="10">
        <f ca="1">IFERROR(__xludf.DUMMYFUNCTION("""COMPUTED_VALUE"""),39)</f>
        <v>39</v>
      </c>
      <c r="B211" s="10" t="str">
        <f ca="1">IFERROR(__xludf.DUMMYFUNCTION("""COMPUTED_VALUE"""),"Khandwa")</f>
        <v>Khandwa</v>
      </c>
      <c r="C211" s="10" t="str">
        <f ca="1">IFERROR(__xludf.DUMMYFUNCTION("""COMPUTED_VALUE"""),"ROHIT PATEL KHANDWA")</f>
        <v>ROHIT PATEL KHANDWA</v>
      </c>
      <c r="D211" s="10">
        <f ca="1">IFERROR(__xludf.DUMMYFUNCTION("""COMPUTED_VALUE"""),1712555403)</f>
        <v>1712555403</v>
      </c>
      <c r="E211" s="12"/>
      <c r="F211" s="10" t="str">
        <f ca="1">IFERROR(__xludf.DUMMYFUNCTION("""COMPUTED_VALUE"""),"Registered Mails")</f>
        <v>Registered Mails</v>
      </c>
      <c r="G211" s="10" t="str">
        <f ca="1">IFERROR(__xludf.DUMMYFUNCTION("""COMPUTED_VALUE"""),"B2C")</f>
        <v>B2C</v>
      </c>
      <c r="H211" s="10" t="str">
        <f ca="1">IFERROR(__xludf.DUMMYFUNCTION("""COMPUTED_VALUE"""),"junaid khan")</f>
        <v>junaid khan</v>
      </c>
    </row>
    <row r="212" spans="1:8">
      <c r="A212" s="10">
        <f ca="1">IFERROR(__xludf.DUMMYFUNCTION("""COMPUTED_VALUE"""),40)</f>
        <v>40</v>
      </c>
      <c r="B212" s="10" t="str">
        <f ca="1">IFERROR(__xludf.DUMMYFUNCTION("""COMPUTED_VALUE"""),"Khandwa")</f>
        <v>Khandwa</v>
      </c>
      <c r="C212" s="10" t="str">
        <f ca="1">IFERROR(__xludf.DUMMYFUNCTION("""COMPUTED_VALUE"""),"KULDEEP KEWAT BAKAWAN")</f>
        <v>KULDEEP KEWAT BAKAWAN</v>
      </c>
      <c r="D212" s="10">
        <f ca="1">IFERROR(__xludf.DUMMYFUNCTION("""COMPUTED_VALUE"""),1397525749)</f>
        <v>1397525749</v>
      </c>
      <c r="E212" s="12"/>
      <c r="F212" s="10" t="str">
        <f ca="1">IFERROR(__xludf.DUMMYFUNCTION("""COMPUTED_VALUE"""),"Indiapost Parcel Contractual")</f>
        <v>Indiapost Parcel Contractual</v>
      </c>
      <c r="G212" s="10" t="str">
        <f ca="1">IFERROR(__xludf.DUMMYFUNCTION("""COMPUTED_VALUE"""),"B2C")</f>
        <v>B2C</v>
      </c>
      <c r="H212" s="10" t="str">
        <f ca="1">IFERROR(__xludf.DUMMYFUNCTION("""COMPUTED_VALUE"""),"VINEET PATEL")</f>
        <v>VINEET PATEL</v>
      </c>
    </row>
    <row r="213" spans="1:8">
      <c r="A213" s="10">
        <f ca="1">IFERROR(__xludf.DUMMYFUNCTION("""COMPUTED_VALUE"""),41)</f>
        <v>41</v>
      </c>
      <c r="B213" s="10" t="str">
        <f ca="1">IFERROR(__xludf.DUMMYFUNCTION("""COMPUTED_VALUE"""),"Khandwa")</f>
        <v>Khandwa</v>
      </c>
      <c r="C213" s="10" t="str">
        <f ca="1">IFERROR(__xludf.DUMMYFUNCTION("""COMPUTED_VALUE"""),"MAAHI NARMDESHWAR SHIVLING ART BAKAWAN")</f>
        <v>MAAHI NARMDESHWAR SHIVLING ART BAKAWAN</v>
      </c>
      <c r="D213" s="10">
        <f ca="1">IFERROR(__xludf.DUMMYFUNCTION("""COMPUTED_VALUE"""),1774594158)</f>
        <v>1774594158</v>
      </c>
      <c r="E213" s="12"/>
      <c r="F213" s="10" t="str">
        <f ca="1">IFERROR(__xludf.DUMMYFUNCTION("""COMPUTED_VALUE"""),"Indiapost Parcel Contractual")</f>
        <v>Indiapost Parcel Contractual</v>
      </c>
      <c r="G213" s="10" t="str">
        <f ca="1">IFERROR(__xludf.DUMMYFUNCTION("""COMPUTED_VALUE"""),"B2C")</f>
        <v>B2C</v>
      </c>
      <c r="H213" s="10" t="str">
        <f ca="1">IFERROR(__xludf.DUMMYFUNCTION("""COMPUTED_VALUE"""),"VINEET PATEL")</f>
        <v>VINEET PATEL</v>
      </c>
    </row>
    <row r="214" spans="1:8">
      <c r="A214" s="10">
        <f ca="1">IFERROR(__xludf.DUMMYFUNCTION("""COMPUTED_VALUE"""),42)</f>
        <v>42</v>
      </c>
      <c r="B214" s="10" t="str">
        <f ca="1">IFERROR(__xludf.DUMMYFUNCTION("""COMPUTED_VALUE"""),"Khandwa")</f>
        <v>Khandwa</v>
      </c>
      <c r="C214" s="10" t="str">
        <f ca="1">IFERROR(__xludf.DUMMYFUNCTION("""COMPUTED_VALUE"""),"OMPRAKASH KEWAT BAKAWAN")</f>
        <v>OMPRAKASH KEWAT BAKAWAN</v>
      </c>
      <c r="D214" s="10">
        <f ca="1">IFERROR(__xludf.DUMMYFUNCTION("""COMPUTED_VALUE"""),1613315334)</f>
        <v>1613315334</v>
      </c>
      <c r="E214" s="12"/>
      <c r="F214" s="10" t="str">
        <f ca="1">IFERROR(__xludf.DUMMYFUNCTION("""COMPUTED_VALUE"""),"Speed Post")</f>
        <v>Speed Post</v>
      </c>
      <c r="G214" s="10" t="str">
        <f ca="1">IFERROR(__xludf.DUMMYFUNCTION("""COMPUTED_VALUE"""),"B2C")</f>
        <v>B2C</v>
      </c>
      <c r="H214" s="10" t="str">
        <f ca="1">IFERROR(__xludf.DUMMYFUNCTION("""COMPUTED_VALUE"""),"VINEET PATEL")</f>
        <v>VINEET PATEL</v>
      </c>
    </row>
    <row r="215" spans="1:8">
      <c r="A215" s="10">
        <f ca="1">IFERROR(__xludf.DUMMYFUNCTION("""COMPUTED_VALUE"""),43)</f>
        <v>43</v>
      </c>
      <c r="B215" s="10" t="str">
        <f ca="1">IFERROR(__xludf.DUMMYFUNCTION("""COMPUTED_VALUE"""),"Khandwa")</f>
        <v>Khandwa</v>
      </c>
      <c r="C215" s="10" t="str">
        <f ca="1">IFERROR(__xludf.DUMMYFUNCTION("""COMPUTED_VALUE"""),"SONU GAYAKAWAD BAKAWAN")</f>
        <v>SONU GAYAKAWAD BAKAWAN</v>
      </c>
      <c r="D215" s="10">
        <f ca="1">IFERROR(__xludf.DUMMYFUNCTION("""COMPUTED_VALUE"""),1688226222)</f>
        <v>1688226222</v>
      </c>
      <c r="E215" s="12"/>
      <c r="F215" s="10" t="str">
        <f ca="1">IFERROR(__xludf.DUMMYFUNCTION("""COMPUTED_VALUE"""),"Speed Post")</f>
        <v>Speed Post</v>
      </c>
      <c r="G215" s="10" t="str">
        <f ca="1">IFERROR(__xludf.DUMMYFUNCTION("""COMPUTED_VALUE"""),"B2C")</f>
        <v>B2C</v>
      </c>
      <c r="H215" s="10" t="str">
        <f ca="1">IFERROR(__xludf.DUMMYFUNCTION("""COMPUTED_VALUE"""),"VINEET PATEL")</f>
        <v>VINEET PATEL</v>
      </c>
    </row>
    <row r="216" spans="1:8">
      <c r="A216" s="10">
        <f ca="1">IFERROR(__xludf.DUMMYFUNCTION("""COMPUTED_VALUE"""),44)</f>
        <v>44</v>
      </c>
      <c r="B216" s="10" t="str">
        <f ca="1">IFERROR(__xludf.DUMMYFUNCTION("""COMPUTED_VALUE"""),"Khandwa")</f>
        <v>Khandwa</v>
      </c>
      <c r="C216" s="10" t="str">
        <f ca="1">IFERROR(__xludf.DUMMYFUNCTION("""COMPUTED_VALUE"""),"MANGAL TEXTILES BURHANPUR")</f>
        <v>MANGAL TEXTILES BURHANPUR</v>
      </c>
      <c r="D216" s="10">
        <f ca="1">IFERROR(__xludf.DUMMYFUNCTION("""COMPUTED_VALUE"""),1561083897)</f>
        <v>1561083897</v>
      </c>
      <c r="E216" s="12"/>
      <c r="F216" s="10" t="str">
        <f ca="1">IFERROR(__xludf.DUMMYFUNCTION("""COMPUTED_VALUE"""),"Speed Post")</f>
        <v>Speed Post</v>
      </c>
      <c r="G216" s="10" t="str">
        <f ca="1">IFERROR(__xludf.DUMMYFUNCTION("""COMPUTED_VALUE"""),"B2C")</f>
        <v>B2C</v>
      </c>
      <c r="H216" s="10" t="str">
        <f ca="1">IFERROR(__xludf.DUMMYFUNCTION("""COMPUTED_VALUE"""),"sunil bhojwani")</f>
        <v>sunil bhojwani</v>
      </c>
    </row>
    <row r="217" spans="1:8">
      <c r="A217" s="10">
        <f ca="1">IFERROR(__xludf.DUMMYFUNCTION("""COMPUTED_VALUE"""),45)</f>
        <v>45</v>
      </c>
      <c r="B217" s="10" t="str">
        <f ca="1">IFERROR(__xludf.DUMMYFUNCTION("""COMPUTED_VALUE"""),"Khandwa")</f>
        <v>Khandwa</v>
      </c>
      <c r="C217" s="10" t="str">
        <f ca="1">IFERROR(__xludf.DUMMYFUNCTION("""COMPUTED_VALUE"""),"PSM PODDAR SYNTHETIC PVT LTD BURHANPUR")</f>
        <v>PSM PODDAR SYNTHETIC PVT LTD BURHANPUR</v>
      </c>
      <c r="D217" s="10">
        <f ca="1">IFERROR(__xludf.DUMMYFUNCTION("""COMPUTED_VALUE"""),1860449045)</f>
        <v>1860449045</v>
      </c>
      <c r="E217" s="12"/>
      <c r="F217" s="10" t="str">
        <f ca="1">IFERROR(__xludf.DUMMYFUNCTION("""COMPUTED_VALUE"""),"Speed Post")</f>
        <v>Speed Post</v>
      </c>
      <c r="G217" s="10" t="str">
        <f ca="1">IFERROR(__xludf.DUMMYFUNCTION("""COMPUTED_VALUE"""),"B2C")</f>
        <v>B2C</v>
      </c>
      <c r="H217" s="10" t="str">
        <f ca="1">IFERROR(__xludf.DUMMYFUNCTION("""COMPUTED_VALUE"""),"sunil bhojwani")</f>
        <v>sunil bhojwani</v>
      </c>
    </row>
    <row r="218" spans="1:8">
      <c r="A218" s="10">
        <f ca="1">IFERROR(__xludf.DUMMYFUNCTION("""COMPUTED_VALUE"""),46)</f>
        <v>46</v>
      </c>
      <c r="B218" s="10" t="str">
        <f ca="1">IFERROR(__xludf.DUMMYFUNCTION("""COMPUTED_VALUE"""),"Khandwa")</f>
        <v>Khandwa</v>
      </c>
      <c r="C218" s="10" t="str">
        <f ca="1">IFERROR(__xludf.DUMMYFUNCTION("""COMPUTED_VALUE"""),"SHRI KUNJ BIHARI PROCESS BURHANPUR")</f>
        <v>SHRI KUNJ BIHARI PROCESS BURHANPUR</v>
      </c>
      <c r="D218" s="10">
        <f ca="1">IFERROR(__xludf.DUMMYFUNCTION("""COMPUTED_VALUE"""),1764436405)</f>
        <v>1764436405</v>
      </c>
      <c r="E218" s="12"/>
      <c r="F218" s="10" t="str">
        <f ca="1">IFERROR(__xludf.DUMMYFUNCTION("""COMPUTED_VALUE"""),"Speed Post")</f>
        <v>Speed Post</v>
      </c>
      <c r="G218" s="10" t="str">
        <f ca="1">IFERROR(__xludf.DUMMYFUNCTION("""COMPUTED_VALUE"""),"B2C")</f>
        <v>B2C</v>
      </c>
      <c r="H218" s="10" t="str">
        <f ca="1">IFERROR(__xludf.DUMMYFUNCTION("""COMPUTED_VALUE"""),"sunil bhojwani")</f>
        <v>sunil bhojwani</v>
      </c>
    </row>
    <row r="219" spans="1:8">
      <c r="A219" s="10">
        <f ca="1">IFERROR(__xludf.DUMMYFUNCTION("""COMPUTED_VALUE"""),47)</f>
        <v>47</v>
      </c>
      <c r="B219" s="10" t="str">
        <f ca="1">IFERROR(__xludf.DUMMYFUNCTION("""COMPUTED_VALUE"""),"Khandwa")</f>
        <v>Khandwa</v>
      </c>
      <c r="C219" s="10" t="str">
        <f ca="1">IFERROR(__xludf.DUMMYFUNCTION("""COMPUTED_VALUE"""),"MANAN SONI KHANDWA")</f>
        <v>MANAN SONI KHANDWA</v>
      </c>
      <c r="D219" s="10">
        <f ca="1">IFERROR(__xludf.DUMMYFUNCTION("""COMPUTED_VALUE"""),1107211917)</f>
        <v>1107211917</v>
      </c>
      <c r="E219" s="12"/>
      <c r="F219" s="10" t="str">
        <f ca="1">IFERROR(__xludf.DUMMYFUNCTION("""COMPUTED_VALUE"""),"Speed Post Parcel Domestic")</f>
        <v>Speed Post Parcel Domestic</v>
      </c>
      <c r="G219" s="10" t="str">
        <f ca="1">IFERROR(__xludf.DUMMYFUNCTION("""COMPUTED_VALUE"""),"B2C")</f>
        <v>B2C</v>
      </c>
      <c r="H219" s="10" t="str">
        <f ca="1">IFERROR(__xludf.DUMMYFUNCTION("""COMPUTED_VALUE"""),"junaid khan")</f>
        <v>junaid khan</v>
      </c>
    </row>
    <row r="220" spans="1:8">
      <c r="A220" s="10">
        <f ca="1">IFERROR(__xludf.DUMMYFUNCTION("""COMPUTED_VALUE"""),48)</f>
        <v>48</v>
      </c>
      <c r="B220" s="10" t="str">
        <f ca="1">IFERROR(__xludf.DUMMYFUNCTION("""COMPUTED_VALUE"""),"Khandwa")</f>
        <v>Khandwa</v>
      </c>
      <c r="C220" s="10" t="str">
        <f ca="1">IFERROR(__xludf.DUMMYFUNCTION("""COMPUTED_VALUE"""),"PRITI CREATION RAJPUR")</f>
        <v>PRITI CREATION RAJPUR</v>
      </c>
      <c r="D220" s="10">
        <f ca="1">IFERROR(__xludf.DUMMYFUNCTION("""COMPUTED_VALUE"""),1779495996)</f>
        <v>1779495996</v>
      </c>
      <c r="E220" s="12"/>
      <c r="F220" s="10" t="str">
        <f ca="1">IFERROR(__xludf.DUMMYFUNCTION("""COMPUTED_VALUE"""),"Indiapost Parcel Contractual")</f>
        <v>Indiapost Parcel Contractual</v>
      </c>
      <c r="G220" s="10" t="str">
        <f ca="1">IFERROR(__xludf.DUMMYFUNCTION("""COMPUTED_VALUE"""),"B2C")</f>
        <v>B2C</v>
      </c>
      <c r="H220" s="10" t="str">
        <f ca="1">IFERROR(__xludf.DUMMYFUNCTION("""COMPUTED_VALUE"""),"SANTOSH RATHORE")</f>
        <v>SANTOSH RATHORE</v>
      </c>
    </row>
    <row r="221" spans="1:8">
      <c r="A221" s="10">
        <f ca="1">IFERROR(__xludf.DUMMYFUNCTION("""COMPUTED_VALUE"""),49)</f>
        <v>49</v>
      </c>
      <c r="B221" s="10" t="str">
        <f ca="1">IFERROR(__xludf.DUMMYFUNCTION("""COMPUTED_VALUE"""),"Khandwa")</f>
        <v>Khandwa</v>
      </c>
      <c r="C221" s="10" t="str">
        <f ca="1">IFERROR(__xludf.DUMMYFUNCTION("""COMPUTED_VALUE"""),"SAAVI AGRO VENTURES BISTAN")</f>
        <v>SAAVI AGRO VENTURES BISTAN</v>
      </c>
      <c r="D221" s="10">
        <f ca="1">IFERROR(__xludf.DUMMYFUNCTION("""COMPUTED_VALUE"""),1303849016)</f>
        <v>1303849016</v>
      </c>
      <c r="E221" s="12"/>
      <c r="F221" s="10" t="str">
        <f ca="1">IFERROR(__xludf.DUMMYFUNCTION("""COMPUTED_VALUE"""),"Registered Mails")</f>
        <v>Registered Mails</v>
      </c>
      <c r="G221" s="10" t="str">
        <f ca="1">IFERROR(__xludf.DUMMYFUNCTION("""COMPUTED_VALUE"""),"B2C")</f>
        <v>B2C</v>
      </c>
      <c r="H221" s="10" t="str">
        <f ca="1">IFERROR(__xludf.DUMMYFUNCTION("""COMPUTED_VALUE"""),"VINEET PATEL")</f>
        <v>VINEET PATEL</v>
      </c>
    </row>
    <row r="222" spans="1:8">
      <c r="A222" s="10">
        <f ca="1">IFERROR(__xludf.DUMMYFUNCTION("""COMPUTED_VALUE"""),50)</f>
        <v>50</v>
      </c>
      <c r="B222" s="10" t="str">
        <f ca="1">IFERROR(__xludf.DUMMYFUNCTION("""COMPUTED_VALUE"""),"Khandwa")</f>
        <v>Khandwa</v>
      </c>
      <c r="C222" s="10" t="str">
        <f ca="1">IFERROR(__xludf.DUMMYFUNCTION("""COMPUTED_VALUE"""),"INSTANT INFORMATION SOFTWARE SERVICE PVT LTD BURHANPUR")</f>
        <v>INSTANT INFORMATION SOFTWARE SERVICE PVT LTD BURHANPUR</v>
      </c>
      <c r="D222" s="10">
        <f ca="1">IFERROR(__xludf.DUMMYFUNCTION("""COMPUTED_VALUE"""),1528301258)</f>
        <v>1528301258</v>
      </c>
      <c r="E222" s="12"/>
      <c r="F222" s="10" t="str">
        <f ca="1">IFERROR(__xludf.DUMMYFUNCTION("""COMPUTED_VALUE"""),"Registered Mails")</f>
        <v>Registered Mails</v>
      </c>
      <c r="G222" s="10" t="str">
        <f ca="1">IFERROR(__xludf.DUMMYFUNCTION("""COMPUTED_VALUE"""),"B2C")</f>
        <v>B2C</v>
      </c>
      <c r="H222" s="10" t="str">
        <f ca="1">IFERROR(__xludf.DUMMYFUNCTION("""COMPUTED_VALUE"""),"sunil bhojwani")</f>
        <v>sunil bhojwani</v>
      </c>
    </row>
    <row r="223" spans="1:8">
      <c r="A223" s="10">
        <f ca="1">IFERROR(__xludf.DUMMYFUNCTION("""COMPUTED_VALUE"""),51)</f>
        <v>51</v>
      </c>
      <c r="B223" s="10" t="str">
        <f ca="1">IFERROR(__xludf.DUMMYFUNCTION("""COMPUTED_VALUE"""),"Khandwa")</f>
        <v>Khandwa</v>
      </c>
      <c r="C223" s="10" t="str">
        <f ca="1">IFERROR(__xludf.DUMMYFUNCTION("""COMPUTED_VALUE"""),"KHANDWA PIGEON")</f>
        <v>KHANDWA PIGEON</v>
      </c>
      <c r="D223" s="10">
        <f ca="1">IFERROR(__xludf.DUMMYFUNCTION("""COMPUTED_VALUE"""),1220820660)</f>
        <v>1220820660</v>
      </c>
      <c r="E223" s="12"/>
      <c r="F223" s="10" t="str">
        <f ca="1">IFERROR(__xludf.DUMMYFUNCTION("""COMPUTED_VALUE"""),"Registered Mails")</f>
        <v>Registered Mails</v>
      </c>
      <c r="G223" s="10" t="str">
        <f ca="1">IFERROR(__xludf.DUMMYFUNCTION("""COMPUTED_VALUE"""),"B2C")</f>
        <v>B2C</v>
      </c>
      <c r="H223" s="10" t="str">
        <f ca="1">IFERROR(__xludf.DUMMYFUNCTION("""COMPUTED_VALUE"""),"junaid khan")</f>
        <v>junaid khan</v>
      </c>
    </row>
    <row r="224" spans="1:8">
      <c r="A224" s="10">
        <f ca="1">IFERROR(__xludf.DUMMYFUNCTION("""COMPUTED_VALUE"""),52)</f>
        <v>52</v>
      </c>
      <c r="B224" s="10" t="str">
        <f ca="1">IFERROR(__xludf.DUMMYFUNCTION("""COMPUTED_VALUE"""),"Khandwa")</f>
        <v>Khandwa</v>
      </c>
      <c r="C224" s="10" t="str">
        <f ca="1">IFERROR(__xludf.DUMMYFUNCTION("""COMPUTED_VALUE"""),"SHARMA MEDICAL STORES SENDHWA")</f>
        <v>SHARMA MEDICAL STORES SENDHWA</v>
      </c>
      <c r="D224" s="10">
        <f ca="1">IFERROR(__xludf.DUMMYFUNCTION("""COMPUTED_VALUE"""),1242164183)</f>
        <v>1242164183</v>
      </c>
      <c r="E224" s="12"/>
      <c r="F224" s="10" t="str">
        <f ca="1">IFERROR(__xludf.DUMMYFUNCTION("""COMPUTED_VALUE"""),"Indiapost Parcel Contractual")</f>
        <v>Indiapost Parcel Contractual</v>
      </c>
      <c r="G224" s="10" t="str">
        <f ca="1">IFERROR(__xludf.DUMMYFUNCTION("""COMPUTED_VALUE"""),"B2C")</f>
        <v>B2C</v>
      </c>
      <c r="H224" s="10" t="str">
        <f ca="1">IFERROR(__xludf.DUMMYFUNCTION("""COMPUTED_VALUE"""),"SANTOSH RATHORE")</f>
        <v>SANTOSH RATHORE</v>
      </c>
    </row>
    <row r="225" spans="1:8">
      <c r="A225" s="10">
        <f ca="1">IFERROR(__xludf.DUMMYFUNCTION("""COMPUTED_VALUE"""),53)</f>
        <v>53</v>
      </c>
      <c r="B225" s="10" t="str">
        <f ca="1">IFERROR(__xludf.DUMMYFUNCTION("""COMPUTED_VALUE"""),"Khandwa")</f>
        <v>Khandwa</v>
      </c>
      <c r="C225" s="10" t="str">
        <f ca="1">IFERROR(__xludf.DUMMYFUNCTION("""COMPUTED_VALUE"""),"KUSHWAH E MOTORS KHARGONE")</f>
        <v>KUSHWAH E MOTORS KHARGONE</v>
      </c>
      <c r="D225" s="10">
        <f ca="1">IFERROR(__xludf.DUMMYFUNCTION("""COMPUTED_VALUE"""),1993833255)</f>
        <v>1993833255</v>
      </c>
      <c r="E225" s="12"/>
      <c r="F225" s="10" t="str">
        <f ca="1">IFERROR(__xludf.DUMMYFUNCTION("""COMPUTED_VALUE"""),"Indiapost Parcel Contractual")</f>
        <v>Indiapost Parcel Contractual</v>
      </c>
      <c r="G225" s="10" t="str">
        <f ca="1">IFERROR(__xludf.DUMMYFUNCTION("""COMPUTED_VALUE"""),"B2C")</f>
        <v>B2C</v>
      </c>
      <c r="H225" s="10" t="str">
        <f ca="1">IFERROR(__xludf.DUMMYFUNCTION("""COMPUTED_VALUE"""),"VINEET PATEL")</f>
        <v>VINEET PATEL</v>
      </c>
    </row>
    <row r="226" spans="1:8">
      <c r="A226" s="10">
        <f ca="1">IFERROR(__xludf.DUMMYFUNCTION("""COMPUTED_VALUE"""),54)</f>
        <v>54</v>
      </c>
      <c r="B226" s="10" t="str">
        <f ca="1">IFERROR(__xludf.DUMMYFUNCTION("""COMPUTED_VALUE"""),"Khandwa")</f>
        <v>Khandwa</v>
      </c>
      <c r="C226" s="10" t="str">
        <f ca="1">IFERROR(__xludf.DUMMYFUNCTION("""COMPUTED_VALUE"""),"NATIONAL STATISTICAL OFFICE, (FOD) MOSPI")</f>
        <v>NATIONAL STATISTICAL OFFICE, (FOD) MOSPI</v>
      </c>
      <c r="D226" s="10">
        <f ca="1">IFERROR(__xludf.DUMMYFUNCTION("""COMPUTED_VALUE"""),1392296059)</f>
        <v>1392296059</v>
      </c>
      <c r="E226" s="12"/>
      <c r="F226" s="10" t="str">
        <f ca="1">IFERROR(__xludf.DUMMYFUNCTION("""COMPUTED_VALUE"""),"Speed Post")</f>
        <v>Speed Post</v>
      </c>
      <c r="G226" s="10" t="str">
        <f ca="1">IFERROR(__xludf.DUMMYFUNCTION("""COMPUTED_VALUE"""),"B2C")</f>
        <v>B2C</v>
      </c>
      <c r="H226" s="10" t="str">
        <f ca="1">IFERROR(__xludf.DUMMYFUNCTION("""COMPUTED_VALUE"""),"junaid khan")</f>
        <v>junaid khan</v>
      </c>
    </row>
    <row r="227" spans="1:8">
      <c r="A227" s="10">
        <f ca="1">IFERROR(__xludf.DUMMYFUNCTION("""COMPUTED_VALUE"""),55)</f>
        <v>55</v>
      </c>
      <c r="B227" s="10" t="str">
        <f ca="1">IFERROR(__xludf.DUMMYFUNCTION("""COMPUTED_VALUE"""),"Khandwa")</f>
        <v>Khandwa</v>
      </c>
      <c r="C227" s="10" t="str">
        <f ca="1">IFERROR(__xludf.DUMMYFUNCTION("""COMPUTED_VALUE"""),"TASMIYA PARVEEN")</f>
        <v>TASMIYA PARVEEN</v>
      </c>
      <c r="D227" s="10">
        <f ca="1">IFERROR(__xludf.DUMMYFUNCTION("""COMPUTED_VALUE"""),1720651126)</f>
        <v>1720651126</v>
      </c>
      <c r="E227" s="12"/>
      <c r="F227" s="10" t="str">
        <f ca="1">IFERROR(__xludf.DUMMYFUNCTION("""COMPUTED_VALUE"""),"Indiapost Parcel Contractual")</f>
        <v>Indiapost Parcel Contractual</v>
      </c>
      <c r="G227" s="10" t="str">
        <f ca="1">IFERROR(__xludf.DUMMYFUNCTION("""COMPUTED_VALUE"""),"B2C")</f>
        <v>B2C</v>
      </c>
      <c r="H227" s="10" t="str">
        <f ca="1">IFERROR(__xludf.DUMMYFUNCTION("""COMPUTED_VALUE"""),"sunil bhojwani")</f>
        <v>sunil bhojwani</v>
      </c>
    </row>
    <row r="228" spans="1:8">
      <c r="A228" s="10">
        <f ca="1">IFERROR(__xludf.DUMMYFUNCTION("""COMPUTED_VALUE"""),56)</f>
        <v>56</v>
      </c>
      <c r="B228" s="10" t="str">
        <f ca="1">IFERROR(__xludf.DUMMYFUNCTION("""COMPUTED_VALUE"""),"Khandwa")</f>
        <v>Khandwa</v>
      </c>
      <c r="C228" s="10" t="str">
        <f ca="1">IFERROR(__xludf.DUMMYFUNCTION("""COMPUTED_VALUE"""),"ARCHANA JADHAV")</f>
        <v>ARCHANA JADHAV</v>
      </c>
      <c r="D228" s="10">
        <f ca="1">IFERROR(__xludf.DUMMYFUNCTION("""COMPUTED_VALUE"""),1722757015)</f>
        <v>1722757015</v>
      </c>
      <c r="E228" s="12"/>
      <c r="F228" s="10" t="str">
        <f ca="1">IFERROR(__xludf.DUMMYFUNCTION("""COMPUTED_VALUE"""),"Indiapost Parcel Contractual")</f>
        <v>Indiapost Parcel Contractual</v>
      </c>
      <c r="G228" s="10" t="str">
        <f ca="1">IFERROR(__xludf.DUMMYFUNCTION("""COMPUTED_VALUE"""),"B2C")</f>
        <v>B2C</v>
      </c>
      <c r="H228" s="10" t="str">
        <f ca="1">IFERROR(__xludf.DUMMYFUNCTION("""COMPUTED_VALUE"""),"sunil bhojwani")</f>
        <v>sunil bhojwani</v>
      </c>
    </row>
    <row r="229" spans="1:8">
      <c r="A229" s="10">
        <f ca="1">IFERROR(__xludf.DUMMYFUNCTION("""COMPUTED_VALUE"""),57)</f>
        <v>57</v>
      </c>
      <c r="B229" s="10" t="str">
        <f ca="1">IFERROR(__xludf.DUMMYFUNCTION("""COMPUTED_VALUE"""),"Khandwa")</f>
        <v>Khandwa</v>
      </c>
      <c r="C229" s="10" t="str">
        <f ca="1">IFERROR(__xludf.DUMMYFUNCTION("""COMPUTED_VALUE"""),"SHREE BALAJI IRON MART")</f>
        <v>SHREE BALAJI IRON MART</v>
      </c>
      <c r="D229" s="10">
        <f ca="1">IFERROR(__xludf.DUMMYFUNCTION("""COMPUTED_VALUE"""),1545739391)</f>
        <v>1545739391</v>
      </c>
      <c r="E229" s="12"/>
      <c r="F229" s="10" t="str">
        <f ca="1">IFERROR(__xludf.DUMMYFUNCTION("""COMPUTED_VALUE"""),"Indiapost Parcel Contractual")</f>
        <v>Indiapost Parcel Contractual</v>
      </c>
      <c r="G229" s="10" t="str">
        <f ca="1">IFERROR(__xludf.DUMMYFUNCTION("""COMPUTED_VALUE"""),"B2C")</f>
        <v>B2C</v>
      </c>
      <c r="H229" s="10" t="str">
        <f ca="1">IFERROR(__xludf.DUMMYFUNCTION("""COMPUTED_VALUE"""),"sunil bhojwani")</f>
        <v>sunil bhojwani</v>
      </c>
    </row>
    <row r="230" spans="1:8">
      <c r="A230" s="10">
        <f ca="1">IFERROR(__xludf.DUMMYFUNCTION("""COMPUTED_VALUE"""),58)</f>
        <v>58</v>
      </c>
      <c r="B230" s="10" t="str">
        <f ca="1">IFERROR(__xludf.DUMMYFUNCTION("""COMPUTED_VALUE"""),"Khandwa")</f>
        <v>Khandwa</v>
      </c>
      <c r="C230" s="10" t="str">
        <f ca="1">IFERROR(__xludf.DUMMYFUNCTION("""COMPUTED_VALUE"""),"JAIDEEP KEWAT")</f>
        <v>JAIDEEP KEWAT</v>
      </c>
      <c r="D230" s="10">
        <f ca="1">IFERROR(__xludf.DUMMYFUNCTION("""COMPUTED_VALUE"""),1517882788)</f>
        <v>1517882788</v>
      </c>
      <c r="E230" s="12"/>
      <c r="F230" s="10" t="str">
        <f ca="1">IFERROR(__xludf.DUMMYFUNCTION("""COMPUTED_VALUE"""),"Speed Post Parcel Domestic")</f>
        <v>Speed Post Parcel Domestic</v>
      </c>
      <c r="G230" s="10" t="str">
        <f ca="1">IFERROR(__xludf.DUMMYFUNCTION("""COMPUTED_VALUE"""),"B2C")</f>
        <v>B2C</v>
      </c>
      <c r="H230" s="10" t="str">
        <f ca="1">IFERROR(__xludf.DUMMYFUNCTION("""COMPUTED_VALUE"""),"VINEET PATEL")</f>
        <v>VINEET PATEL</v>
      </c>
    </row>
    <row r="231" spans="1:8">
      <c r="A231" s="10">
        <f ca="1">IFERROR(__xludf.DUMMYFUNCTION("""COMPUTED_VALUE"""),59)</f>
        <v>59</v>
      </c>
      <c r="B231" s="10" t="str">
        <f ca="1">IFERROR(__xludf.DUMMYFUNCTION("""COMPUTED_VALUE"""),"Khandwa")</f>
        <v>Khandwa</v>
      </c>
      <c r="C231" s="10" t="str">
        <f ca="1">IFERROR(__xludf.DUMMYFUNCTION("""COMPUTED_VALUE"""),"AALOK RATHOR")</f>
        <v>AALOK RATHOR</v>
      </c>
      <c r="D231" s="10">
        <f ca="1">IFERROR(__xludf.DUMMYFUNCTION("""COMPUTED_VALUE"""),1195179014)</f>
        <v>1195179014</v>
      </c>
      <c r="E231" s="12"/>
      <c r="F231" s="10" t="str">
        <f ca="1">IFERROR(__xludf.DUMMYFUNCTION("""COMPUTED_VALUE"""),"Indiapost Parcel Contractual")</f>
        <v>Indiapost Parcel Contractual</v>
      </c>
      <c r="G231" s="10" t="str">
        <f ca="1">IFERROR(__xludf.DUMMYFUNCTION("""COMPUTED_VALUE"""),"B2C")</f>
        <v>B2C</v>
      </c>
      <c r="H231" s="10" t="str">
        <f ca="1">IFERROR(__xludf.DUMMYFUNCTION("""COMPUTED_VALUE"""),"santosh rathore ")</f>
        <v xml:space="preserve">santosh rathore </v>
      </c>
    </row>
    <row r="232" spans="1:8">
      <c r="A232" s="10">
        <f ca="1">IFERROR(__xludf.DUMMYFUNCTION("""COMPUTED_VALUE"""),60)</f>
        <v>60</v>
      </c>
      <c r="B232" s="10" t="str">
        <f ca="1">IFERROR(__xludf.DUMMYFUNCTION("""COMPUTED_VALUE"""),"Khandwa")</f>
        <v>Khandwa</v>
      </c>
      <c r="C232" s="10" t="str">
        <f ca="1">IFERROR(__xludf.DUMMYFUNCTION("""COMPUTED_VALUE"""),"ABUBAKAR KHATRI")</f>
        <v>ABUBAKAR KHATRI</v>
      </c>
      <c r="D232" s="10">
        <f ca="1">IFERROR(__xludf.DUMMYFUNCTION("""COMPUTED_VALUE"""),1966270311)</f>
        <v>1966270311</v>
      </c>
      <c r="E232" s="12"/>
      <c r="F232" s="10" t="str">
        <f ca="1">IFERROR(__xludf.DUMMYFUNCTION("""COMPUTED_VALUE"""),"Indiapost Parcel Contractual")</f>
        <v>Indiapost Parcel Contractual</v>
      </c>
      <c r="G232" s="10" t="str">
        <f ca="1">IFERROR(__xludf.DUMMYFUNCTION("""COMPUTED_VALUE"""),"B2C")</f>
        <v>B2C</v>
      </c>
      <c r="H232" s="10" t="str">
        <f ca="1">IFERROR(__xludf.DUMMYFUNCTION("""COMPUTED_VALUE"""),"Vineet Patel")</f>
        <v>Vineet Patel</v>
      </c>
    </row>
    <row r="233" spans="1:8">
      <c r="A233" s="10">
        <f ca="1">IFERROR(__xludf.DUMMYFUNCTION("""COMPUTED_VALUE"""),61)</f>
        <v>61</v>
      </c>
      <c r="B233" s="10" t="str">
        <f ca="1">IFERROR(__xludf.DUMMYFUNCTION("""COMPUTED_VALUE"""),"Khandwa")</f>
        <v>Khandwa</v>
      </c>
      <c r="C233" s="10" t="str">
        <f ca="1">IFERROR(__xludf.DUMMYFUNCTION("""COMPUTED_VALUE"""),"SANJIVANI")</f>
        <v>SANJIVANI</v>
      </c>
      <c r="D233" s="10">
        <f ca="1">IFERROR(__xludf.DUMMYFUNCTION("""COMPUTED_VALUE"""),1102887727)</f>
        <v>1102887727</v>
      </c>
      <c r="E233" s="12"/>
      <c r="F233" s="10" t="str">
        <f ca="1">IFERROR(__xludf.DUMMYFUNCTION("""COMPUTED_VALUE"""),"Speed Post Parcel Domestic")</f>
        <v>Speed Post Parcel Domestic</v>
      </c>
      <c r="G233" s="10" t="str">
        <f ca="1">IFERROR(__xludf.DUMMYFUNCTION("""COMPUTED_VALUE"""),"B2C")</f>
        <v>B2C</v>
      </c>
      <c r="H233" s="10" t="str">
        <f ca="1">IFERROR(__xludf.DUMMYFUNCTION("""COMPUTED_VALUE"""),"junaid khan")</f>
        <v>junaid khan</v>
      </c>
    </row>
    <row r="234" spans="1:8">
      <c r="A234" s="10">
        <f ca="1">IFERROR(__xludf.DUMMYFUNCTION("""COMPUTED_VALUE"""),62)</f>
        <v>62</v>
      </c>
      <c r="B234" s="10" t="str">
        <f ca="1">IFERROR(__xludf.DUMMYFUNCTION("""COMPUTED_VALUE"""),"Khandwa")</f>
        <v>Khandwa</v>
      </c>
      <c r="C234" s="10" t="str">
        <f ca="1">IFERROR(__xludf.DUMMYFUNCTION("""COMPUTED_VALUE"""),"DIDI NIGHT WEAR")</f>
        <v>DIDI NIGHT WEAR</v>
      </c>
      <c r="D234" s="10">
        <f ca="1">IFERROR(__xludf.DUMMYFUNCTION("""COMPUTED_VALUE"""),1671108458)</f>
        <v>1671108458</v>
      </c>
      <c r="E234" s="12"/>
      <c r="F234" s="10" t="str">
        <f ca="1">IFERROR(__xludf.DUMMYFUNCTION("""COMPUTED_VALUE"""),"Indiapost Parcel Contractual")</f>
        <v>Indiapost Parcel Contractual</v>
      </c>
      <c r="G234" s="10" t="str">
        <f ca="1">IFERROR(__xludf.DUMMYFUNCTION("""COMPUTED_VALUE"""),"B2C")</f>
        <v>B2C</v>
      </c>
      <c r="H234" s="10"/>
    </row>
    <row r="235" spans="1:8">
      <c r="A235" s="10">
        <f ca="1">IFERROR(__xludf.DUMMYFUNCTION("""COMPUTED_VALUE"""),63)</f>
        <v>63</v>
      </c>
      <c r="B235" s="10" t="str">
        <f ca="1">IFERROR(__xludf.DUMMYFUNCTION("""COMPUTED_VALUE"""),"Khandwa")</f>
        <v>Khandwa</v>
      </c>
      <c r="C235" s="10" t="str">
        <f ca="1">IFERROR(__xludf.DUMMYFUNCTION("""COMPUTED_VALUE"""),"AYAJ KHAN")</f>
        <v>AYAJ KHAN</v>
      </c>
      <c r="D235" s="10">
        <f ca="1">IFERROR(__xludf.DUMMYFUNCTION("""COMPUTED_VALUE"""),1621303953)</f>
        <v>1621303953</v>
      </c>
      <c r="E235" s="12"/>
      <c r="F235" s="10" t="str">
        <f ca="1">IFERROR(__xludf.DUMMYFUNCTION("""COMPUTED_VALUE"""),"Speed Post Parcel Domestic")</f>
        <v>Speed Post Parcel Domestic</v>
      </c>
      <c r="G235" s="10" t="str">
        <f ca="1">IFERROR(__xludf.DUMMYFUNCTION("""COMPUTED_VALUE"""),"B2C")</f>
        <v>B2C</v>
      </c>
      <c r="H235" s="10" t="str">
        <f ca="1">IFERROR(__xludf.DUMMYFUNCTION("""COMPUTED_VALUE"""),"sunil bhojwani")</f>
        <v>sunil bhojwani</v>
      </c>
    </row>
    <row r="236" spans="1:8">
      <c r="A236" s="10">
        <f ca="1">IFERROR(__xludf.DUMMYFUNCTION("""COMPUTED_VALUE"""),64)</f>
        <v>64</v>
      </c>
      <c r="B236" s="10" t="str">
        <f ca="1">IFERROR(__xludf.DUMMYFUNCTION("""COMPUTED_VALUE"""),"Khandwa")</f>
        <v>Khandwa</v>
      </c>
      <c r="C236" s="10" t="str">
        <f ca="1">IFERROR(__xludf.DUMMYFUNCTION("""COMPUTED_VALUE"""),"AHSAAN ZAHEER QURESHI")</f>
        <v>AHSAAN ZAHEER QURESHI</v>
      </c>
      <c r="D236" s="10">
        <f ca="1">IFERROR(__xludf.DUMMYFUNCTION("""COMPUTED_VALUE"""),1554947937)</f>
        <v>1554947937</v>
      </c>
      <c r="E236" s="12"/>
      <c r="F236" s="10" t="str">
        <f ca="1">IFERROR(__xludf.DUMMYFUNCTION("""COMPUTED_VALUE"""),"Speed Post Parcel Domestic")</f>
        <v>Speed Post Parcel Domestic</v>
      </c>
      <c r="G236" s="10" t="str">
        <f ca="1">IFERROR(__xludf.DUMMYFUNCTION("""COMPUTED_VALUE"""),"B2C")</f>
        <v>B2C</v>
      </c>
      <c r="H236" s="10"/>
    </row>
    <row r="237" spans="1:8">
      <c r="A237" s="10">
        <f ca="1">IFERROR(__xludf.DUMMYFUNCTION("""COMPUTED_VALUE"""),65)</f>
        <v>65</v>
      </c>
      <c r="B237" s="10" t="str">
        <f ca="1">IFERROR(__xludf.DUMMYFUNCTION("""COMPUTED_VALUE"""),"Khandwa")</f>
        <v>Khandwa</v>
      </c>
      <c r="C237" s="10" t="str">
        <f ca="1">IFERROR(__xludf.DUMMYFUNCTION("""COMPUTED_VALUE"""),"SHYAM SPARES")</f>
        <v>SHYAM SPARES</v>
      </c>
      <c r="D237" s="10">
        <f ca="1">IFERROR(__xludf.DUMMYFUNCTION("""COMPUTED_VALUE"""),1916717972)</f>
        <v>1916717972</v>
      </c>
      <c r="E237" s="12"/>
      <c r="F237" s="10" t="str">
        <f ca="1">IFERROR(__xludf.DUMMYFUNCTION("""COMPUTED_VALUE"""),"Indiapost Parcel Contractual")</f>
        <v>Indiapost Parcel Contractual</v>
      </c>
      <c r="G237" s="10" t="str">
        <f ca="1">IFERROR(__xludf.DUMMYFUNCTION("""COMPUTED_VALUE"""),"B2C")</f>
        <v>B2C</v>
      </c>
      <c r="H237" s="10" t="str">
        <f ca="1">IFERROR(__xludf.DUMMYFUNCTION("""COMPUTED_VALUE"""),"sunil bhojwani")</f>
        <v>sunil bhojwani</v>
      </c>
    </row>
    <row r="238" spans="1:8">
      <c r="A238" s="10">
        <f ca="1">IFERROR(__xludf.DUMMYFUNCTION("""COMPUTED_VALUE"""),66)</f>
        <v>66</v>
      </c>
      <c r="B238" s="10" t="str">
        <f ca="1">IFERROR(__xludf.DUMMYFUNCTION("""COMPUTED_VALUE"""),"Khandwa")</f>
        <v>Khandwa</v>
      </c>
      <c r="C238" s="10" t="str">
        <f ca="1">IFERROR(__xludf.DUMMYFUNCTION("""COMPUTED_VALUE"""),"Sanjay Gulya")</f>
        <v>Sanjay Gulya</v>
      </c>
      <c r="D238" s="10">
        <f ca="1">IFERROR(__xludf.DUMMYFUNCTION("""COMPUTED_VALUE"""),1599377003)</f>
        <v>1599377003</v>
      </c>
      <c r="E238" s="12"/>
      <c r="F238" s="10" t="str">
        <f ca="1">IFERROR(__xludf.DUMMYFUNCTION("""COMPUTED_VALUE"""),"Speed Post Parcel Domestic")</f>
        <v>Speed Post Parcel Domestic</v>
      </c>
      <c r="G238" s="10" t="str">
        <f ca="1">IFERROR(__xludf.DUMMYFUNCTION("""COMPUTED_VALUE"""),"B2C")</f>
        <v>B2C</v>
      </c>
      <c r="H238" s="10" t="str">
        <f ca="1">IFERROR(__xludf.DUMMYFUNCTION("""COMPUTED_VALUE"""),"Vineet Patel")</f>
        <v>Vineet Patel</v>
      </c>
    </row>
    <row r="239" spans="1:8">
      <c r="A239" s="10">
        <f ca="1">IFERROR(__xludf.DUMMYFUNCTION("""COMPUTED_VALUE"""),67)</f>
        <v>67</v>
      </c>
      <c r="B239" s="10" t="str">
        <f ca="1">IFERROR(__xludf.DUMMYFUNCTION("""COMPUTED_VALUE"""),"Khandwa")</f>
        <v>Khandwa</v>
      </c>
      <c r="C239" s="10" t="str">
        <f ca="1">IFERROR(__xludf.DUMMYFUNCTION("""COMPUTED_VALUE"""),"Pankaj kewat")</f>
        <v>Pankaj kewat</v>
      </c>
      <c r="D239" s="10">
        <f ca="1">IFERROR(__xludf.DUMMYFUNCTION("""COMPUTED_VALUE"""),1311051856)</f>
        <v>1311051856</v>
      </c>
      <c r="E239" s="12"/>
      <c r="F239" s="10" t="str">
        <f ca="1">IFERROR(__xludf.DUMMYFUNCTION("""COMPUTED_VALUE"""),"Speed Post Parcel Domestic")</f>
        <v>Speed Post Parcel Domestic</v>
      </c>
      <c r="G239" s="10" t="str">
        <f ca="1">IFERROR(__xludf.DUMMYFUNCTION("""COMPUTED_VALUE"""),"B2C")</f>
        <v>B2C</v>
      </c>
      <c r="H239" s="10" t="str">
        <f ca="1">IFERROR(__xludf.DUMMYFUNCTION("""COMPUTED_VALUE"""),"vineet patel")</f>
        <v>vineet patel</v>
      </c>
    </row>
    <row r="240" spans="1:8">
      <c r="A240" s="10">
        <f ca="1">IFERROR(__xludf.DUMMYFUNCTION("""COMPUTED_VALUE"""),68)</f>
        <v>68</v>
      </c>
      <c r="B240" s="10" t="str">
        <f ca="1">IFERROR(__xludf.DUMMYFUNCTION("""COMPUTED_VALUE"""),"Khandwa")</f>
        <v>Khandwa</v>
      </c>
      <c r="C240" s="10" t="str">
        <f ca="1">IFERROR(__xludf.DUMMYFUNCTION("""COMPUTED_VALUE"""),"MISHRILAL VERMA")</f>
        <v>MISHRILAL VERMA</v>
      </c>
      <c r="D240" s="10">
        <f ca="1">IFERROR(__xludf.DUMMYFUNCTION("""COMPUTED_VALUE"""),1707389443)</f>
        <v>1707389443</v>
      </c>
      <c r="E240" s="12"/>
      <c r="F240" s="10" t="str">
        <f ca="1">IFERROR(__xludf.DUMMYFUNCTION("""COMPUTED_VALUE"""),"Speed Post Parcel Domestic")</f>
        <v>Speed Post Parcel Domestic</v>
      </c>
      <c r="G240" s="10" t="str">
        <f ca="1">IFERROR(__xludf.DUMMYFUNCTION("""COMPUTED_VALUE"""),"B2C")</f>
        <v>B2C</v>
      </c>
      <c r="H240" s="10" t="str">
        <f ca="1">IFERROR(__xludf.DUMMYFUNCTION("""COMPUTED_VALUE"""),"vineet patel ")</f>
        <v xml:space="preserve">vineet patel </v>
      </c>
    </row>
    <row r="241" spans="1:8">
      <c r="A241" s="10">
        <f ca="1">IFERROR(__xludf.DUMMYFUNCTION("""COMPUTED_VALUE"""),69)</f>
        <v>69</v>
      </c>
      <c r="B241" s="10" t="str">
        <f ca="1">IFERROR(__xludf.DUMMYFUNCTION("""COMPUTED_VALUE"""),"Khandwa")</f>
        <v>Khandwa</v>
      </c>
      <c r="C241" s="10" t="str">
        <f ca="1">IFERROR(__xludf.DUMMYFUNCTION("""COMPUTED_VALUE"""),"NAVKAR SAREE EMPORIUM")</f>
        <v>NAVKAR SAREE EMPORIUM</v>
      </c>
      <c r="D241" s="10">
        <f ca="1">IFERROR(__xludf.DUMMYFUNCTION("""COMPUTED_VALUE"""),1369280565)</f>
        <v>1369280565</v>
      </c>
      <c r="E241" s="12"/>
      <c r="F241" s="10" t="str">
        <f ca="1">IFERROR(__xludf.DUMMYFUNCTION("""COMPUTED_VALUE"""),"Speed Post Parcel Domestic")</f>
        <v>Speed Post Parcel Domestic</v>
      </c>
      <c r="G241" s="10" t="str">
        <f ca="1">IFERROR(__xludf.DUMMYFUNCTION("""COMPUTED_VALUE"""),"B2C")</f>
        <v>B2C</v>
      </c>
      <c r="H241" s="10" t="str">
        <f ca="1">IFERROR(__xludf.DUMMYFUNCTION("""COMPUTED_VALUE"""),"santosh rathore ")</f>
        <v xml:space="preserve">santosh rathore </v>
      </c>
    </row>
    <row r="242" spans="1:8">
      <c r="A242" s="10">
        <f ca="1">IFERROR(__xludf.DUMMYFUNCTION("""COMPUTED_VALUE"""),70)</f>
        <v>70</v>
      </c>
      <c r="B242" s="10" t="str">
        <f ca="1">IFERROR(__xludf.DUMMYFUNCTION("""COMPUTED_VALUE"""),"Khandwa")</f>
        <v>Khandwa</v>
      </c>
      <c r="C242" s="10" t="str">
        <f ca="1">IFERROR(__xludf.DUMMYFUNCTION("""COMPUTED_VALUE"""),"NARENDRA JAISWAL")</f>
        <v>NARENDRA JAISWAL</v>
      </c>
      <c r="D242" s="10">
        <f ca="1">IFERROR(__xludf.DUMMYFUNCTION("""COMPUTED_VALUE"""),1408974164)</f>
        <v>1408974164</v>
      </c>
      <c r="E242" s="12"/>
      <c r="F242" s="10" t="str">
        <f ca="1">IFERROR(__xludf.DUMMYFUNCTION("""COMPUTED_VALUE"""),"Speed Post Parcel Domestic")</f>
        <v>Speed Post Parcel Domestic</v>
      </c>
      <c r="G242" s="10" t="str">
        <f ca="1">IFERROR(__xludf.DUMMYFUNCTION("""COMPUTED_VALUE"""),"B2C")</f>
        <v>B2C</v>
      </c>
      <c r="H242" s="10"/>
    </row>
    <row r="243" spans="1:8">
      <c r="A243" s="10">
        <f ca="1">IFERROR(__xludf.DUMMYFUNCTION("""COMPUTED_VALUE"""),71)</f>
        <v>71</v>
      </c>
      <c r="B243" s="10" t="str">
        <f ca="1">IFERROR(__xludf.DUMMYFUNCTION("""COMPUTED_VALUE"""),"Khandwa")</f>
        <v>Khandwa</v>
      </c>
      <c r="C243" s="10" t="str">
        <f ca="1">IFERROR(__xludf.DUMMYFUNCTION("""COMPUTED_VALUE"""),"RAVINDRA VERMA")</f>
        <v>RAVINDRA VERMA</v>
      </c>
      <c r="D243" s="10">
        <f ca="1">IFERROR(__xludf.DUMMYFUNCTION("""COMPUTED_VALUE"""),1787286135)</f>
        <v>1787286135</v>
      </c>
      <c r="E243" s="12"/>
      <c r="F243" s="10" t="str">
        <f ca="1">IFERROR(__xludf.DUMMYFUNCTION("""COMPUTED_VALUE"""),"Speed Post Parcel Domestic")</f>
        <v>Speed Post Parcel Domestic</v>
      </c>
      <c r="G243" s="10" t="str">
        <f ca="1">IFERROR(__xludf.DUMMYFUNCTION("""COMPUTED_VALUE"""),"B2C")</f>
        <v>B2C</v>
      </c>
      <c r="H243" s="10" t="str">
        <f ca="1">IFERROR(__xludf.DUMMYFUNCTION("""COMPUTED_VALUE"""),"vineet patel")</f>
        <v>vineet patel</v>
      </c>
    </row>
    <row r="244" spans="1:8">
      <c r="A244" s="10">
        <f ca="1">IFERROR(__xludf.DUMMYFUNCTION("""COMPUTED_VALUE"""),72)</f>
        <v>72</v>
      </c>
      <c r="B244" s="10" t="str">
        <f ca="1">IFERROR(__xludf.DUMMYFUNCTION("""COMPUTED_VALUE"""),"Khandwa")</f>
        <v>Khandwa</v>
      </c>
      <c r="C244" s="10" t="str">
        <f ca="1">IFERROR(__xludf.DUMMYFUNCTION("""COMPUTED_VALUE"""),"SHIV NARMADESHWAR SHIVLING")</f>
        <v>SHIV NARMADESHWAR SHIVLING</v>
      </c>
      <c r="D244" s="10">
        <f ca="1">IFERROR(__xludf.DUMMYFUNCTION("""COMPUTED_VALUE"""),1670881656)</f>
        <v>1670881656</v>
      </c>
      <c r="E244" s="12"/>
      <c r="F244" s="10" t="str">
        <f ca="1">IFERROR(__xludf.DUMMYFUNCTION("""COMPUTED_VALUE"""),"Speed Post Parcel Domestic")</f>
        <v>Speed Post Parcel Domestic</v>
      </c>
      <c r="G244" s="10" t="str">
        <f ca="1">IFERROR(__xludf.DUMMYFUNCTION("""COMPUTED_VALUE"""),"B2C")</f>
        <v>B2C</v>
      </c>
      <c r="H244" s="10" t="str">
        <f ca="1">IFERROR(__xludf.DUMMYFUNCTION("""COMPUTED_VALUE"""),"vineet patel")</f>
        <v>vineet patel</v>
      </c>
    </row>
    <row r="245" spans="1:8">
      <c r="A245" s="10">
        <f ca="1">IFERROR(__xludf.DUMMYFUNCTION("""COMPUTED_VALUE"""),73)</f>
        <v>73</v>
      </c>
      <c r="B245" s="10" t="str">
        <f ca="1">IFERROR(__xludf.DUMMYFUNCTION("""COMPUTED_VALUE"""),"Khandwa")</f>
        <v>Khandwa</v>
      </c>
      <c r="C245" s="10" t="str">
        <f ca="1">IFERROR(__xludf.DUMMYFUNCTION("""COMPUTED_VALUE"""),"Rahul")</f>
        <v>Rahul</v>
      </c>
      <c r="D245" s="10">
        <f ca="1">IFERROR(__xludf.DUMMYFUNCTION("""COMPUTED_VALUE"""),1820439245)</f>
        <v>1820439245</v>
      </c>
      <c r="E245" s="12"/>
      <c r="F245" s="10" t="str">
        <f ca="1">IFERROR(__xludf.DUMMYFUNCTION("""COMPUTED_VALUE"""),"Speed Post Parcel Domestic")</f>
        <v>Speed Post Parcel Domestic</v>
      </c>
      <c r="G245" s="10" t="str">
        <f ca="1">IFERROR(__xludf.DUMMYFUNCTION("""COMPUTED_VALUE"""),"B2C")</f>
        <v>B2C</v>
      </c>
      <c r="H245" s="10" t="str">
        <f ca="1">IFERROR(__xludf.DUMMYFUNCTION("""COMPUTED_VALUE"""),"vineet Patel ")</f>
        <v xml:space="preserve">vineet Patel </v>
      </c>
    </row>
    <row r="246" spans="1:8">
      <c r="A246" s="10">
        <f ca="1">IFERROR(__xludf.DUMMYFUNCTION("""COMPUTED_VALUE"""),74)</f>
        <v>74</v>
      </c>
      <c r="B246" s="10" t="str">
        <f ca="1">IFERROR(__xludf.DUMMYFUNCTION("""COMPUTED_VALUE"""),"Khandwa")</f>
        <v>Khandwa</v>
      </c>
      <c r="C246" s="10" t="str">
        <f ca="1">IFERROR(__xludf.DUMMYFUNCTION("""COMPUTED_VALUE"""),"SANJAY VERMA")</f>
        <v>SANJAY VERMA</v>
      </c>
      <c r="D246" s="10">
        <f ca="1">IFERROR(__xludf.DUMMYFUNCTION("""COMPUTED_VALUE"""),1676340146)</f>
        <v>1676340146</v>
      </c>
      <c r="E246" s="12"/>
      <c r="F246" s="10" t="str">
        <f ca="1">IFERROR(__xludf.DUMMYFUNCTION("""COMPUTED_VALUE"""),"Speed Post Parcel Domestic")</f>
        <v>Speed Post Parcel Domestic</v>
      </c>
      <c r="G246" s="10" t="str">
        <f ca="1">IFERROR(__xludf.DUMMYFUNCTION("""COMPUTED_VALUE"""),"B2C")</f>
        <v>B2C</v>
      </c>
      <c r="H246" s="10"/>
    </row>
    <row r="247" spans="1:8">
      <c r="A247" s="10">
        <f ca="1">IFERROR(__xludf.DUMMYFUNCTION("""COMPUTED_VALUE"""),1)</f>
        <v>1</v>
      </c>
      <c r="B247" s="10" t="str">
        <f ca="1">IFERROR(__xludf.DUMMYFUNCTION("""COMPUTED_VALUE"""),"Mandsaur")</f>
        <v>Mandsaur</v>
      </c>
      <c r="C247" s="10" t="str">
        <f ca="1">IFERROR(__xludf.DUMMYFUNCTION("""COMPUTED_VALUE"""),"THE GLOBUS SHOES")</f>
        <v>THE GLOBUS SHOES</v>
      </c>
      <c r="D247" s="10">
        <f ca="1">IFERROR(__xludf.DUMMYFUNCTION("""COMPUTED_VALUE"""),1608065160)</f>
        <v>1608065160</v>
      </c>
      <c r="E247" s="12">
        <f ca="1">IFERROR(__xludf.DUMMYFUNCTION("""COMPUTED_VALUE"""),46121)</f>
        <v>46121</v>
      </c>
      <c r="F247" s="10"/>
      <c r="G247" s="10" t="str">
        <f ca="1">IFERROR(__xludf.DUMMYFUNCTION("""COMPUTED_VALUE"""),"B2C")</f>
        <v>B2C</v>
      </c>
      <c r="H247" s="10" t="str">
        <f ca="1">IFERROR(__xludf.DUMMYFUNCTION("""COMPUTED_VALUE"""),"Shri Yash Mittal")</f>
        <v>Shri Yash Mittal</v>
      </c>
    </row>
    <row r="248" spans="1:8">
      <c r="A248" s="10">
        <f ca="1">IFERROR(__xludf.DUMMYFUNCTION("""COMPUTED_VALUE"""),2)</f>
        <v>2</v>
      </c>
      <c r="B248" s="10" t="str">
        <f ca="1">IFERROR(__xludf.DUMMYFUNCTION("""COMPUTED_VALUE"""),"Mandsaur")</f>
        <v>Mandsaur</v>
      </c>
      <c r="C248" s="10" t="str">
        <f ca="1">IFERROR(__xludf.DUMMYFUNCTION("""COMPUTED_VALUE"""),"shree shyam agro international")</f>
        <v>shree shyam agro international</v>
      </c>
      <c r="D248" s="10">
        <f ca="1">IFERROR(__xludf.DUMMYFUNCTION("""COMPUTED_VALUE"""),1750186689)</f>
        <v>1750186689</v>
      </c>
      <c r="E248" s="12">
        <f ca="1">IFERROR(__xludf.DUMMYFUNCTION("""COMPUTED_VALUE"""),46125)</f>
        <v>46125</v>
      </c>
      <c r="F248" s="10"/>
      <c r="G248" s="10" t="str">
        <f ca="1">IFERROR(__xludf.DUMMYFUNCTION("""COMPUTED_VALUE"""),"B2C")</f>
        <v>B2C</v>
      </c>
      <c r="H248" s="10" t="str">
        <f ca="1">IFERROR(__xludf.DUMMYFUNCTION("""COMPUTED_VALUE"""),"Shri Yash Mittal")</f>
        <v>Shri Yash Mittal</v>
      </c>
    </row>
    <row r="249" spans="1:8">
      <c r="A249" s="10">
        <f ca="1">IFERROR(__xludf.DUMMYFUNCTION("""COMPUTED_VALUE"""),3)</f>
        <v>3</v>
      </c>
      <c r="B249" s="10" t="str">
        <f ca="1">IFERROR(__xludf.DUMMYFUNCTION("""COMPUTED_VALUE"""),"Mandsaur")</f>
        <v>Mandsaur</v>
      </c>
      <c r="C249" s="10" t="str">
        <f ca="1">IFERROR(__xludf.DUMMYFUNCTION("""COMPUTED_VALUE"""),"JAI AMBE AGRO")</f>
        <v>JAI AMBE AGRO</v>
      </c>
      <c r="D249" s="10">
        <f ca="1">IFERROR(__xludf.DUMMYFUNCTION("""COMPUTED_VALUE"""),1109522542)</f>
        <v>1109522542</v>
      </c>
      <c r="E249" s="12">
        <f ca="1">IFERROR(__xludf.DUMMYFUNCTION("""COMPUTED_VALUE"""),46137)</f>
        <v>46137</v>
      </c>
      <c r="F249" s="10"/>
      <c r="G249" s="10" t="str">
        <f ca="1">IFERROR(__xludf.DUMMYFUNCTION("""COMPUTED_VALUE"""),"B2C")</f>
        <v>B2C</v>
      </c>
      <c r="H249" s="10" t="str">
        <f ca="1">IFERROR(__xludf.DUMMYFUNCTION("""COMPUTED_VALUE"""),"Shri Yash Mittal")</f>
        <v>Shri Yash Mittal</v>
      </c>
    </row>
    <row r="250" spans="1:8">
      <c r="A250" s="10">
        <f ca="1">IFERROR(__xludf.DUMMYFUNCTION("""COMPUTED_VALUE"""),4)</f>
        <v>4</v>
      </c>
      <c r="B250" s="10" t="str">
        <f ca="1">IFERROR(__xludf.DUMMYFUNCTION("""COMPUTED_VALUE"""),"Mandsaur")</f>
        <v>Mandsaur</v>
      </c>
      <c r="C250" s="10" t="str">
        <f ca="1">IFERROR(__xludf.DUMMYFUNCTION("""COMPUTED_VALUE"""),"D COLLECTION")</f>
        <v>D COLLECTION</v>
      </c>
      <c r="D250" s="10">
        <f ca="1">IFERROR(__xludf.DUMMYFUNCTION("""COMPUTED_VALUE"""),1811297002)</f>
        <v>1811297002</v>
      </c>
      <c r="E250" s="12">
        <f ca="1">IFERROR(__xludf.DUMMYFUNCTION("""COMPUTED_VALUE"""),46141)</f>
        <v>46141</v>
      </c>
      <c r="F250" s="10"/>
      <c r="G250" s="10" t="str">
        <f ca="1">IFERROR(__xludf.DUMMYFUNCTION("""COMPUTED_VALUE"""),"B2C")</f>
        <v>B2C</v>
      </c>
      <c r="H250" s="10" t="str">
        <f ca="1">IFERROR(__xludf.DUMMYFUNCTION("""COMPUTED_VALUE"""),"Shri Yash Mittal")</f>
        <v>Shri Yash Mittal</v>
      </c>
    </row>
    <row r="251" spans="1:8">
      <c r="A251" s="10">
        <f ca="1">IFERROR(__xludf.DUMMYFUNCTION("""COMPUTED_VALUE"""),5)</f>
        <v>5</v>
      </c>
      <c r="B251" s="10" t="str">
        <f ca="1">IFERROR(__xludf.DUMMYFUNCTION("""COMPUTED_VALUE"""),"Mandsaur")</f>
        <v>Mandsaur</v>
      </c>
      <c r="C251" s="10" t="str">
        <f ca="1">IFERROR(__xludf.DUMMYFUNCTION("""COMPUTED_VALUE"""),"BE NONSENSE")</f>
        <v>BE NONSENSE</v>
      </c>
      <c r="D251" s="10">
        <f ca="1">IFERROR(__xludf.DUMMYFUNCTION("""COMPUTED_VALUE"""),1232594386)</f>
        <v>1232594386</v>
      </c>
      <c r="E251" s="12">
        <f ca="1">IFERROR(__xludf.DUMMYFUNCTION("""COMPUTED_VALUE"""),46155)</f>
        <v>46155</v>
      </c>
      <c r="F251" s="10"/>
      <c r="G251" s="10" t="str">
        <f ca="1">IFERROR(__xludf.DUMMYFUNCTION("""COMPUTED_VALUE"""),"B2C")</f>
        <v>B2C</v>
      </c>
      <c r="H251" s="10" t="str">
        <f ca="1">IFERROR(__xludf.DUMMYFUNCTION("""COMPUTED_VALUE"""),"Shri Yash Mittal")</f>
        <v>Shri Yash Mittal</v>
      </c>
    </row>
    <row r="252" spans="1:8">
      <c r="A252" s="10">
        <f ca="1">IFERROR(__xludf.DUMMYFUNCTION("""COMPUTED_VALUE"""),6)</f>
        <v>6</v>
      </c>
      <c r="B252" s="10" t="str">
        <f ca="1">IFERROR(__xludf.DUMMYFUNCTION("""COMPUTED_VALUE"""),"Mandsaur")</f>
        <v>Mandsaur</v>
      </c>
      <c r="C252" s="10" t="str">
        <f ca="1">IFERROR(__xludf.DUMMYFUNCTION("""COMPUTED_VALUE"""),"AKSHAY CREDIT COOPERATIVE SOCIETY LIMITED")</f>
        <v>AKSHAY CREDIT COOPERATIVE SOCIETY LIMITED</v>
      </c>
      <c r="D252" s="10">
        <f ca="1">IFERROR(__xludf.DUMMYFUNCTION("""COMPUTED_VALUE"""),1487288297)</f>
        <v>1487288297</v>
      </c>
      <c r="E252" s="12">
        <f ca="1">IFERROR(__xludf.DUMMYFUNCTION("""COMPUTED_VALUE"""),46149)</f>
        <v>46149</v>
      </c>
      <c r="F252" s="10"/>
      <c r="G252" s="10" t="str">
        <f ca="1">IFERROR(__xludf.DUMMYFUNCTION("""COMPUTED_VALUE"""),"B2C")</f>
        <v>B2C</v>
      </c>
      <c r="H252" s="10" t="str">
        <f ca="1">IFERROR(__xludf.DUMMYFUNCTION("""COMPUTED_VALUE"""),"Shri Vishal Soni")</f>
        <v>Shri Vishal Soni</v>
      </c>
    </row>
    <row r="253" spans="1:8">
      <c r="A253" s="10">
        <f ca="1">IFERROR(__xludf.DUMMYFUNCTION("""COMPUTED_VALUE"""),7)</f>
        <v>7</v>
      </c>
      <c r="B253" s="10" t="str">
        <f ca="1">IFERROR(__xludf.DUMMYFUNCTION("""COMPUTED_VALUE"""),"Mandsaur")</f>
        <v>Mandsaur</v>
      </c>
      <c r="C253" s="10" t="str">
        <f ca="1">IFERROR(__xludf.DUMMYFUNCTION("""COMPUTED_VALUE"""),"MERY SLATE PEN WORKS")</f>
        <v>MERY SLATE PEN WORKS</v>
      </c>
      <c r="D253" s="10">
        <f ca="1">IFERROR(__xludf.DUMMYFUNCTION("""COMPUTED_VALUE"""),1676311014)</f>
        <v>1676311014</v>
      </c>
      <c r="E253" s="12">
        <f ca="1">IFERROR(__xludf.DUMMYFUNCTION("""COMPUTED_VALUE"""),46163)</f>
        <v>46163</v>
      </c>
      <c r="F253" s="10"/>
      <c r="G253" s="10" t="str">
        <f ca="1">IFERROR(__xludf.DUMMYFUNCTION("""COMPUTED_VALUE"""),"B2C")</f>
        <v>B2C</v>
      </c>
      <c r="H253" s="10" t="str">
        <f ca="1">IFERROR(__xludf.DUMMYFUNCTION("""COMPUTED_VALUE"""),"Shri Vishal Soni")</f>
        <v>Shri Vishal Soni</v>
      </c>
    </row>
    <row r="254" spans="1:8">
      <c r="A254" s="10">
        <f ca="1">IFERROR(__xludf.DUMMYFUNCTION("""COMPUTED_VALUE"""),8)</f>
        <v>8</v>
      </c>
      <c r="B254" s="10" t="str">
        <f ca="1">IFERROR(__xludf.DUMMYFUNCTION("""COMPUTED_VALUE"""),"Mandsaur")</f>
        <v>Mandsaur</v>
      </c>
      <c r="C254" s="10" t="str">
        <f ca="1">IFERROR(__xludf.DUMMYFUNCTION("""COMPUTED_VALUE"""),"CENTRAL BANK OF INIDA MANDSAUR BRANCH")</f>
        <v>CENTRAL BANK OF INIDA MANDSAUR BRANCH</v>
      </c>
      <c r="D254" s="10">
        <f ca="1">IFERROR(__xludf.DUMMYFUNCTION("""COMPUTED_VALUE"""),1851294619)</f>
        <v>1851294619</v>
      </c>
      <c r="E254" s="12">
        <f ca="1">IFERROR(__xludf.DUMMYFUNCTION("""COMPUTED_VALUE"""),46163)</f>
        <v>46163</v>
      </c>
      <c r="F254" s="10"/>
      <c r="G254" s="10" t="str">
        <f ca="1">IFERROR(__xludf.DUMMYFUNCTION("""COMPUTED_VALUE"""),"B2C")</f>
        <v>B2C</v>
      </c>
      <c r="H254" s="10" t="str">
        <f ca="1">IFERROR(__xludf.DUMMYFUNCTION("""COMPUTED_VALUE"""),"Shri Vishal Soni")</f>
        <v>Shri Vishal Soni</v>
      </c>
    </row>
    <row r="255" spans="1:8">
      <c r="A255" s="10">
        <f ca="1">IFERROR(__xludf.DUMMYFUNCTION("""COMPUTED_VALUE"""),9)</f>
        <v>9</v>
      </c>
      <c r="B255" s="10" t="str">
        <f ca="1">IFERROR(__xludf.DUMMYFUNCTION("""COMPUTED_VALUE"""),"Mandsaur")</f>
        <v>Mandsaur</v>
      </c>
      <c r="C255" s="10" t="str">
        <f ca="1">IFERROR(__xludf.DUMMYFUNCTION("""COMPUTED_VALUE"""),"ARHAM TRADING COMPANY")</f>
        <v>ARHAM TRADING COMPANY</v>
      </c>
      <c r="D255" s="10">
        <f ca="1">IFERROR(__xludf.DUMMYFUNCTION("""COMPUTED_VALUE"""),1499665635)</f>
        <v>1499665635</v>
      </c>
      <c r="E255" s="12">
        <f ca="1">IFERROR(__xludf.DUMMYFUNCTION("""COMPUTED_VALUE"""),46163)</f>
        <v>46163</v>
      </c>
      <c r="F255" s="10"/>
      <c r="G255" s="10" t="str">
        <f ca="1">IFERROR(__xludf.DUMMYFUNCTION("""COMPUTED_VALUE"""),"B2C")</f>
        <v>B2C</v>
      </c>
      <c r="H255" s="10" t="str">
        <f ca="1">IFERROR(__xludf.DUMMYFUNCTION("""COMPUTED_VALUE"""),"Shri Yash Mittal")</f>
        <v>Shri Yash Mittal</v>
      </c>
    </row>
    <row r="256" spans="1:8">
      <c r="A256" s="10">
        <f ca="1">IFERROR(__xludf.DUMMYFUNCTION("""COMPUTED_VALUE"""),10)</f>
        <v>10</v>
      </c>
      <c r="B256" s="10" t="str">
        <f ca="1">IFERROR(__xludf.DUMMYFUNCTION("""COMPUTED_VALUE"""),"Mandsaur")</f>
        <v>Mandsaur</v>
      </c>
      <c r="C256" s="10" t="str">
        <f ca="1">IFERROR(__xludf.DUMMYFUNCTION("""COMPUTED_VALUE"""),"INDIAN OVERSEAS BANK")</f>
        <v>INDIAN OVERSEAS BANK</v>
      </c>
      <c r="D256" s="10">
        <f ca="1">IFERROR(__xludf.DUMMYFUNCTION("""COMPUTED_VALUE"""),1992494624)</f>
        <v>1992494624</v>
      </c>
      <c r="E256" s="12">
        <f ca="1">IFERROR(__xludf.DUMMYFUNCTION("""COMPUTED_VALUE"""),46167)</f>
        <v>46167</v>
      </c>
      <c r="F256" s="10"/>
      <c r="G256" s="10" t="str">
        <f ca="1">IFERROR(__xludf.DUMMYFUNCTION("""COMPUTED_VALUE"""),"B2C")</f>
        <v>B2C</v>
      </c>
      <c r="H256" s="10" t="str">
        <f ca="1">IFERROR(__xludf.DUMMYFUNCTION("""COMPUTED_VALUE"""),"Shri Yash Mittal")</f>
        <v>Shri Yash Mittal</v>
      </c>
    </row>
    <row r="257" spans="1:8">
      <c r="A257" s="10">
        <f ca="1">IFERROR(__xludf.DUMMYFUNCTION("""COMPUTED_VALUE"""),11)</f>
        <v>11</v>
      </c>
      <c r="B257" s="10" t="str">
        <f ca="1">IFERROR(__xludf.DUMMYFUNCTION("""COMPUTED_VALUE"""),"Mandsaur")</f>
        <v>Mandsaur</v>
      </c>
      <c r="C257" s="10" t="str">
        <f ca="1">IFERROR(__xludf.DUMMYFUNCTION("""COMPUTED_VALUE"""),"PANKAJ PATIDAR")</f>
        <v>PANKAJ PATIDAR</v>
      </c>
      <c r="D257" s="10">
        <f ca="1">IFERROR(__xludf.DUMMYFUNCTION("""COMPUTED_VALUE"""),1126866508)</f>
        <v>1126866508</v>
      </c>
      <c r="E257" s="12">
        <f ca="1">IFERROR(__xludf.DUMMYFUNCTION("""COMPUTED_VALUE"""),46171)</f>
        <v>46171</v>
      </c>
      <c r="F257" s="10"/>
      <c r="G257" s="10" t="str">
        <f ca="1">IFERROR(__xludf.DUMMYFUNCTION("""COMPUTED_VALUE"""),"B2C")</f>
        <v>B2C</v>
      </c>
      <c r="H257" s="10" t="str">
        <f ca="1">IFERROR(__xludf.DUMMYFUNCTION("""COMPUTED_VALUE"""),"Shri Yash Mittal")</f>
        <v>Shri Yash Mittal</v>
      </c>
    </row>
    <row r="258" spans="1:8">
      <c r="A258" s="10">
        <f ca="1">IFERROR(__xludf.DUMMYFUNCTION("""COMPUTED_VALUE"""),12)</f>
        <v>12</v>
      </c>
      <c r="B258" s="10" t="str">
        <f ca="1">IFERROR(__xludf.DUMMYFUNCTION("""COMPUTED_VALUE"""),"Mandsaur")</f>
        <v>Mandsaur</v>
      </c>
      <c r="C258" s="10" t="str">
        <f ca="1">IFERROR(__xludf.DUMMYFUNCTION("""COMPUTED_VALUE"""),"PUNJAB NATIONAL BANK")</f>
        <v>PUNJAB NATIONAL BANK</v>
      </c>
      <c r="D258" s="10">
        <f ca="1">IFERROR(__xludf.DUMMYFUNCTION("""COMPUTED_VALUE"""),1418823332)</f>
        <v>1418823332</v>
      </c>
      <c r="E258" s="12">
        <f ca="1">IFERROR(__xludf.DUMMYFUNCTION("""COMPUTED_VALUE"""),46196)</f>
        <v>46196</v>
      </c>
      <c r="F258" s="10"/>
      <c r="G258" s="10" t="str">
        <f ca="1">IFERROR(__xludf.DUMMYFUNCTION("""COMPUTED_VALUE"""),"B2C")</f>
        <v>B2C</v>
      </c>
      <c r="H258" s="10" t="str">
        <f ca="1">IFERROR(__xludf.DUMMYFUNCTION("""COMPUTED_VALUE"""),"Shri Yash Mittal")</f>
        <v>Shri Yash Mittal</v>
      </c>
    </row>
    <row r="259" spans="1:8">
      <c r="A259" s="10">
        <f ca="1">IFERROR(__xludf.DUMMYFUNCTION("""COMPUTED_VALUE"""),13)</f>
        <v>13</v>
      </c>
      <c r="B259" s="10" t="str">
        <f ca="1">IFERROR(__xludf.DUMMYFUNCTION("""COMPUTED_VALUE"""),"Mandsaur")</f>
        <v>Mandsaur</v>
      </c>
      <c r="C259" s="10" t="str">
        <f ca="1">IFERROR(__xludf.DUMMYFUNCTION("""COMPUTED_VALUE"""),"SONI MEDICOSE")</f>
        <v>SONI MEDICOSE</v>
      </c>
      <c r="D259" s="10">
        <f ca="1">IFERROR(__xludf.DUMMYFUNCTION("""COMPUTED_VALUE"""),1299088587)</f>
        <v>1299088587</v>
      </c>
      <c r="E259" s="12">
        <f ca="1">IFERROR(__xludf.DUMMYFUNCTION("""COMPUTED_VALUE"""),46196)</f>
        <v>46196</v>
      </c>
      <c r="F259" s="10"/>
      <c r="G259" s="10" t="str">
        <f ca="1">IFERROR(__xludf.DUMMYFUNCTION("""COMPUTED_VALUE"""),"B2C")</f>
        <v>B2C</v>
      </c>
      <c r="H259" s="10" t="str">
        <f ca="1">IFERROR(__xludf.DUMMYFUNCTION("""COMPUTED_VALUE"""),"Shri Yash Mittal")</f>
        <v>Shri Yash Mittal</v>
      </c>
    </row>
    <row r="260" spans="1:8">
      <c r="A260" s="10">
        <f ca="1">IFERROR(__xludf.DUMMYFUNCTION("""COMPUTED_VALUE"""),14)</f>
        <v>14</v>
      </c>
      <c r="B260" s="10" t="str">
        <f ca="1">IFERROR(__xludf.DUMMYFUNCTION("""COMPUTED_VALUE"""),"Mandsaur")</f>
        <v>Mandsaur</v>
      </c>
      <c r="C260" s="10" t="str">
        <f ca="1">IFERROR(__xludf.DUMMYFUNCTION("""COMPUTED_VALUE"""),"RANGREZ")</f>
        <v>RANGREZ</v>
      </c>
      <c r="D260" s="10">
        <f ca="1">IFERROR(__xludf.DUMMYFUNCTION("""COMPUTED_VALUE"""),1634493813)</f>
        <v>1634493813</v>
      </c>
      <c r="E260" s="12">
        <f ca="1">IFERROR(__xludf.DUMMYFUNCTION("""COMPUTED_VALUE"""),46196)</f>
        <v>46196</v>
      </c>
      <c r="F260" s="10"/>
      <c r="G260" s="10" t="str">
        <f ca="1">IFERROR(__xludf.DUMMYFUNCTION("""COMPUTED_VALUE"""),"B2C")</f>
        <v>B2C</v>
      </c>
      <c r="H260" s="10" t="str">
        <f ca="1">IFERROR(__xludf.DUMMYFUNCTION("""COMPUTED_VALUE"""),"Shri Vishal Soni")</f>
        <v>Shri Vishal Soni</v>
      </c>
    </row>
    <row r="261" spans="1:8">
      <c r="A261" s="10">
        <f ca="1">IFERROR(__xludf.DUMMYFUNCTION("""COMPUTED_VALUE"""),15)</f>
        <v>15</v>
      </c>
      <c r="B261" s="10" t="str">
        <f ca="1">IFERROR(__xludf.DUMMYFUNCTION("""COMPUTED_VALUE"""),"Mandsaur")</f>
        <v>Mandsaur</v>
      </c>
      <c r="C261" s="10" t="str">
        <f ca="1">IFERROR(__xludf.DUMMYFUNCTION("""COMPUTED_VALUE"""),"CHANDAN CHISHTI TRADERS")</f>
        <v>CHANDAN CHISHTI TRADERS</v>
      </c>
      <c r="D261" s="10">
        <f ca="1">IFERROR(__xludf.DUMMYFUNCTION("""COMPUTED_VALUE"""),1328685206)</f>
        <v>1328685206</v>
      </c>
      <c r="E261" s="12">
        <f ca="1">IFERROR(__xludf.DUMMYFUNCTION("""COMPUTED_VALUE"""),46196)</f>
        <v>46196</v>
      </c>
      <c r="F261" s="10"/>
      <c r="G261" s="10" t="str">
        <f ca="1">IFERROR(__xludf.DUMMYFUNCTION("""COMPUTED_VALUE"""),"B2C")</f>
        <v>B2C</v>
      </c>
      <c r="H261" s="10" t="str">
        <f ca="1">IFERROR(__xludf.DUMMYFUNCTION("""COMPUTED_VALUE"""),"Shri Vishal Soni")</f>
        <v>Shri Vishal Soni</v>
      </c>
    </row>
    <row r="262" spans="1:8">
      <c r="A262" s="10">
        <f ca="1">IFERROR(__xludf.DUMMYFUNCTION("""COMPUTED_VALUE"""),16)</f>
        <v>16</v>
      </c>
      <c r="B262" s="10" t="str">
        <f ca="1">IFERROR(__xludf.DUMMYFUNCTION("""COMPUTED_VALUE"""),"Mandsaur")</f>
        <v>Mandsaur</v>
      </c>
      <c r="C262" s="10" t="str">
        <f ca="1">IFERROR(__xludf.DUMMYFUNCTION("""COMPUTED_VALUE"""),"MS PARIVESH")</f>
        <v>MS PARIVESH</v>
      </c>
      <c r="D262" s="10">
        <f ca="1">IFERROR(__xludf.DUMMYFUNCTION("""COMPUTED_VALUE"""),1428012293)</f>
        <v>1428012293</v>
      </c>
      <c r="E262" s="12">
        <f ca="1">IFERROR(__xludf.DUMMYFUNCTION("""COMPUTED_VALUE"""),46209)</f>
        <v>46209</v>
      </c>
      <c r="F262" s="10"/>
      <c r="G262" s="10" t="str">
        <f ca="1">IFERROR(__xludf.DUMMYFUNCTION("""COMPUTED_VALUE"""),"B2C")</f>
        <v>B2C</v>
      </c>
      <c r="H262" s="10" t="str">
        <f ca="1">IFERROR(__xludf.DUMMYFUNCTION("""COMPUTED_VALUE"""),"Shri Yash Mittal")</f>
        <v>Shri Yash Mittal</v>
      </c>
    </row>
    <row r="263" spans="1:8">
      <c r="A263" s="10">
        <f ca="1">IFERROR(__xludf.DUMMYFUNCTION("""COMPUTED_VALUE"""),17)</f>
        <v>17</v>
      </c>
      <c r="B263" s="10" t="str">
        <f ca="1">IFERROR(__xludf.DUMMYFUNCTION("""COMPUTED_VALUE"""),"Mandsaur")</f>
        <v>Mandsaur</v>
      </c>
      <c r="C263" s="10" t="str">
        <f ca="1">IFERROR(__xludf.DUMMYFUNCTION("""COMPUTED_VALUE"""),"Sinhal Herbs")</f>
        <v>Sinhal Herbs</v>
      </c>
      <c r="D263" s="10">
        <f ca="1">IFERROR(__xludf.DUMMYFUNCTION("""COMPUTED_VALUE"""),1800975214)</f>
        <v>1800975214</v>
      </c>
      <c r="E263" s="12">
        <f ca="1">IFERROR(__xludf.DUMMYFUNCTION("""COMPUTED_VALUE"""),46218)</f>
        <v>46218</v>
      </c>
      <c r="F263" s="10"/>
      <c r="G263" s="10" t="str">
        <f ca="1">IFERROR(__xludf.DUMMYFUNCTION("""COMPUTED_VALUE"""),"B2C")</f>
        <v>B2C</v>
      </c>
      <c r="H263" s="10" t="str">
        <f ca="1">IFERROR(__xludf.DUMMYFUNCTION("""COMPUTED_VALUE"""),"Shri Yash Mittal")</f>
        <v>Shri Yash Mittal</v>
      </c>
    </row>
    <row r="264" spans="1:8">
      <c r="A264" s="10">
        <f ca="1">IFERROR(__xludf.DUMMYFUNCTION("""COMPUTED_VALUE"""),18)</f>
        <v>18</v>
      </c>
      <c r="B264" s="10" t="str">
        <f ca="1">IFERROR(__xludf.DUMMYFUNCTION("""COMPUTED_VALUE"""),"Mandsaur")</f>
        <v>Mandsaur</v>
      </c>
      <c r="C264" s="10" t="str">
        <f ca="1">IFERROR(__xludf.DUMMYFUNCTION("""COMPUTED_VALUE"""),"RAJ AND COMPANY")</f>
        <v>RAJ AND COMPANY</v>
      </c>
      <c r="D264" s="10">
        <f ca="1">IFERROR(__xludf.DUMMYFUNCTION("""COMPUTED_VALUE"""),1508356015)</f>
        <v>1508356015</v>
      </c>
      <c r="E264" s="12">
        <f ca="1">IFERROR(__xludf.DUMMYFUNCTION("""COMPUTED_VALUE"""),46210)</f>
        <v>46210</v>
      </c>
      <c r="F264" s="10"/>
      <c r="G264" s="10" t="str">
        <f ca="1">IFERROR(__xludf.DUMMYFUNCTION("""COMPUTED_VALUE"""),"B2C")</f>
        <v>B2C</v>
      </c>
      <c r="H264" s="10" t="str">
        <f ca="1">IFERROR(__xludf.DUMMYFUNCTION("""COMPUTED_VALUE"""),"Shri Yash Mittal")</f>
        <v>Shri Yash Mittal</v>
      </c>
    </row>
    <row r="265" spans="1:8">
      <c r="A265" s="10">
        <f ca="1">IFERROR(__xludf.DUMMYFUNCTION("""COMPUTED_VALUE"""),19)</f>
        <v>19</v>
      </c>
      <c r="B265" s="10" t="str">
        <f ca="1">IFERROR(__xludf.DUMMYFUNCTION("""COMPUTED_VALUE"""),"Mandsaur")</f>
        <v>Mandsaur</v>
      </c>
      <c r="C265" s="10" t="str">
        <f ca="1">IFERROR(__xludf.DUMMYFUNCTION("""COMPUTED_VALUE"""),"PRISH JEWELS")</f>
        <v>PRISH JEWELS</v>
      </c>
      <c r="D265" s="10">
        <f ca="1">IFERROR(__xludf.DUMMYFUNCTION("""COMPUTED_VALUE"""),1719438303)</f>
        <v>1719438303</v>
      </c>
      <c r="E265" s="12">
        <f ca="1">IFERROR(__xludf.DUMMYFUNCTION("""COMPUTED_VALUE"""),46209)</f>
        <v>46209</v>
      </c>
      <c r="F265" s="10"/>
      <c r="G265" s="10" t="str">
        <f ca="1">IFERROR(__xludf.DUMMYFUNCTION("""COMPUTED_VALUE"""),"B2C")</f>
        <v>B2C</v>
      </c>
      <c r="H265" s="10" t="str">
        <f ca="1">IFERROR(__xludf.DUMMYFUNCTION("""COMPUTED_VALUE"""),"Shri Yash Mittal")</f>
        <v>Shri Yash Mittal</v>
      </c>
    </row>
    <row r="266" spans="1:8">
      <c r="A266" s="10">
        <f ca="1">IFERROR(__xludf.DUMMYFUNCTION("""COMPUTED_VALUE"""),20)</f>
        <v>20</v>
      </c>
      <c r="B266" s="10" t="str">
        <f ca="1">IFERROR(__xludf.DUMMYFUNCTION("""COMPUTED_VALUE"""),"Mandsaur")</f>
        <v>Mandsaur</v>
      </c>
      <c r="C266" s="10" t="str">
        <f ca="1">IFERROR(__xludf.DUMMYFUNCTION("""COMPUTED_VALUE"""),"MS MINERALS AND FOODS")</f>
        <v>MS MINERALS AND FOODS</v>
      </c>
      <c r="D266" s="10">
        <f ca="1">IFERROR(__xludf.DUMMYFUNCTION("""COMPUTED_VALUE"""),1953240025)</f>
        <v>1953240025</v>
      </c>
      <c r="E266" s="12">
        <f ca="1">IFERROR(__xludf.DUMMYFUNCTION("""COMPUTED_VALUE"""),46213)</f>
        <v>46213</v>
      </c>
      <c r="F266" s="10"/>
      <c r="G266" s="10" t="str">
        <f ca="1">IFERROR(__xludf.DUMMYFUNCTION("""COMPUTED_VALUE"""),"B2C")</f>
        <v>B2C</v>
      </c>
      <c r="H266" s="10" t="str">
        <f ca="1">IFERROR(__xludf.DUMMYFUNCTION("""COMPUTED_VALUE"""),"Shri Vishal Soni")</f>
        <v>Shri Vishal Soni</v>
      </c>
    </row>
    <row r="267" spans="1:8">
      <c r="A267" s="10">
        <f ca="1">IFERROR(__xludf.DUMMYFUNCTION("""COMPUTED_VALUE"""),21)</f>
        <v>21</v>
      </c>
      <c r="B267" s="10" t="str">
        <f ca="1">IFERROR(__xludf.DUMMYFUNCTION("""COMPUTED_VALUE"""),"Mandsaur")</f>
        <v>Mandsaur</v>
      </c>
      <c r="C267" s="10" t="str">
        <f ca="1">IFERROR(__xludf.DUMMYFUNCTION("""COMPUTED_VALUE"""),"JAIN TRADING COMPANY")</f>
        <v>JAIN TRADING COMPANY</v>
      </c>
      <c r="D267" s="10">
        <f ca="1">IFERROR(__xludf.DUMMYFUNCTION("""COMPUTED_VALUE"""),1761676932)</f>
        <v>1761676932</v>
      </c>
      <c r="E267" s="12">
        <f ca="1">IFERROR(__xludf.DUMMYFUNCTION("""COMPUTED_VALUE"""),46213)</f>
        <v>46213</v>
      </c>
      <c r="F267" s="10"/>
      <c r="G267" s="10" t="str">
        <f ca="1">IFERROR(__xludf.DUMMYFUNCTION("""COMPUTED_VALUE"""),"B2C")</f>
        <v>B2C</v>
      </c>
      <c r="H267" s="10" t="str">
        <f ca="1">IFERROR(__xludf.DUMMYFUNCTION("""COMPUTED_VALUE"""),"Shri Yash Mittal")</f>
        <v>Shri Yash Mittal</v>
      </c>
    </row>
    <row r="268" spans="1:8">
      <c r="A268" s="10">
        <f ca="1">IFERROR(__xludf.DUMMYFUNCTION("""COMPUTED_VALUE"""),22)</f>
        <v>22</v>
      </c>
      <c r="B268" s="10" t="str">
        <f ca="1">IFERROR(__xludf.DUMMYFUNCTION("""COMPUTED_VALUE"""),"Mandsaur")</f>
        <v>Mandsaur</v>
      </c>
      <c r="C268" s="10" t="str">
        <f ca="1">IFERROR(__xludf.DUMMYFUNCTION("""COMPUTED_VALUE"""),"Vajpayee machinaries")</f>
        <v>Vajpayee machinaries</v>
      </c>
      <c r="D268" s="10">
        <f ca="1">IFERROR(__xludf.DUMMYFUNCTION("""COMPUTED_VALUE"""),1604384741)</f>
        <v>1604384741</v>
      </c>
      <c r="E268" s="12">
        <f ca="1">IFERROR(__xludf.DUMMYFUNCTION("""COMPUTED_VALUE"""),46225)</f>
        <v>46225</v>
      </c>
      <c r="F268" s="10"/>
      <c r="G268" s="10" t="str">
        <f ca="1">IFERROR(__xludf.DUMMYFUNCTION("""COMPUTED_VALUE"""),"B2C")</f>
        <v>B2C</v>
      </c>
      <c r="H268" s="10" t="str">
        <f ca="1">IFERROR(__xludf.DUMMYFUNCTION("""COMPUTED_VALUE"""),"Shri Vishal Soni")</f>
        <v>Shri Vishal Soni</v>
      </c>
    </row>
    <row r="269" spans="1:8">
      <c r="A269" s="10">
        <f ca="1">IFERROR(__xludf.DUMMYFUNCTION("""COMPUTED_VALUE"""),23)</f>
        <v>23</v>
      </c>
      <c r="B269" s="10" t="str">
        <f ca="1">IFERROR(__xludf.DUMMYFUNCTION("""COMPUTED_VALUE"""),"Mandsaur")</f>
        <v>Mandsaur</v>
      </c>
      <c r="C269" s="10" t="str">
        <f ca="1">IFERROR(__xludf.DUMMYFUNCTION("""COMPUTED_VALUE"""),"MADHUR COURIR")</f>
        <v>MADHUR COURIR</v>
      </c>
      <c r="D269" s="10">
        <f ca="1">IFERROR(__xludf.DUMMYFUNCTION("""COMPUTED_VALUE"""),1816804174)</f>
        <v>1816804174</v>
      </c>
      <c r="E269" s="12">
        <f ca="1">IFERROR(__xludf.DUMMYFUNCTION("""COMPUTED_VALUE"""),46223)</f>
        <v>46223</v>
      </c>
      <c r="F269" s="10"/>
      <c r="G269" s="10" t="str">
        <f ca="1">IFERROR(__xludf.DUMMYFUNCTION("""COMPUTED_VALUE"""),"B2C")</f>
        <v>B2C</v>
      </c>
      <c r="H269" s="10" t="str">
        <f ca="1">IFERROR(__xludf.DUMMYFUNCTION("""COMPUTED_VALUE"""),"Shri Yash Mittal")</f>
        <v>Shri Yash Mittal</v>
      </c>
    </row>
    <row r="270" spans="1:8">
      <c r="A270" s="10">
        <f ca="1">IFERROR(__xludf.DUMMYFUNCTION("""COMPUTED_VALUE"""),24)</f>
        <v>24</v>
      </c>
      <c r="B270" s="10" t="str">
        <f ca="1">IFERROR(__xludf.DUMMYFUNCTION("""COMPUTED_VALUE"""),"Mandsaur")</f>
        <v>Mandsaur</v>
      </c>
      <c r="C270" s="10" t="str">
        <f ca="1">IFERROR(__xludf.DUMMYFUNCTION("""COMPUTED_VALUE"""),"State Bank of India Nai Abadi Mandsaur")</f>
        <v>State Bank of India Nai Abadi Mandsaur</v>
      </c>
      <c r="D270" s="10">
        <f ca="1">IFERROR(__xludf.DUMMYFUNCTION("""COMPUTED_VALUE"""),1798741019)</f>
        <v>1798741019</v>
      </c>
      <c r="E270" s="12">
        <f ca="1">IFERROR(__xludf.DUMMYFUNCTION("""COMPUTED_VALUE"""),46223)</f>
        <v>46223</v>
      </c>
      <c r="F270" s="10"/>
      <c r="G270" s="10" t="str">
        <f ca="1">IFERROR(__xludf.DUMMYFUNCTION("""COMPUTED_VALUE"""),"B2C")</f>
        <v>B2C</v>
      </c>
      <c r="H270" s="10" t="str">
        <f ca="1">IFERROR(__xludf.DUMMYFUNCTION("""COMPUTED_VALUE"""),"Shri Vishal Soni")</f>
        <v>Shri Vishal Soni</v>
      </c>
    </row>
    <row r="271" spans="1:8">
      <c r="A271" s="10">
        <f ca="1">IFERROR(__xludf.DUMMYFUNCTION("""COMPUTED_VALUE"""),25)</f>
        <v>25</v>
      </c>
      <c r="B271" s="10" t="str">
        <f ca="1">IFERROR(__xludf.DUMMYFUNCTION("""COMPUTED_VALUE"""),"Mandsaur")</f>
        <v>Mandsaur</v>
      </c>
      <c r="C271" s="10" t="str">
        <f ca="1">IFERROR(__xludf.DUMMYFUNCTION("""COMPUTED_VALUE"""),"NAZMI ARMY GENERAL STORE")</f>
        <v>NAZMI ARMY GENERAL STORE</v>
      </c>
      <c r="D271" s="10">
        <f ca="1">IFERROR(__xludf.DUMMYFUNCTION("""COMPUTED_VALUE"""),1754326861)</f>
        <v>1754326861</v>
      </c>
      <c r="E271" s="12">
        <f ca="1">IFERROR(__xludf.DUMMYFUNCTION("""COMPUTED_VALUE"""),46225)</f>
        <v>46225</v>
      </c>
      <c r="F271" s="10"/>
      <c r="G271" s="10" t="str">
        <f ca="1">IFERROR(__xludf.DUMMYFUNCTION("""COMPUTED_VALUE"""),"B2C")</f>
        <v>B2C</v>
      </c>
      <c r="H271" s="10" t="str">
        <f ca="1">IFERROR(__xludf.DUMMYFUNCTION("""COMPUTED_VALUE"""),"Shri Yash Mittal")</f>
        <v>Shri Yash Mittal</v>
      </c>
    </row>
    <row r="272" spans="1:8">
      <c r="A272" s="10">
        <f ca="1">IFERROR(__xludf.DUMMYFUNCTION("""COMPUTED_VALUE"""),26)</f>
        <v>26</v>
      </c>
      <c r="B272" s="10" t="str">
        <f ca="1">IFERROR(__xludf.DUMMYFUNCTION("""COMPUTED_VALUE"""),"Mandsaur")</f>
        <v>Mandsaur</v>
      </c>
      <c r="C272" s="10" t="str">
        <f ca="1">IFERROR(__xludf.DUMMYFUNCTION("""COMPUTED_VALUE"""),"MLT EDUCATION POINT")</f>
        <v>MLT EDUCATION POINT</v>
      </c>
      <c r="D272" s="10">
        <f ca="1">IFERROR(__xludf.DUMMYFUNCTION("""COMPUTED_VALUE"""),1725093103)</f>
        <v>1725093103</v>
      </c>
      <c r="E272" s="12">
        <f ca="1">IFERROR(__xludf.DUMMYFUNCTION("""COMPUTED_VALUE"""),46219)</f>
        <v>46219</v>
      </c>
      <c r="F272" s="10"/>
      <c r="G272" s="10" t="str">
        <f ca="1">IFERROR(__xludf.DUMMYFUNCTION("""COMPUTED_VALUE"""),"B2C")</f>
        <v>B2C</v>
      </c>
      <c r="H272" s="10" t="str">
        <f ca="1">IFERROR(__xludf.DUMMYFUNCTION("""COMPUTED_VALUE"""),"Shri Vishal Soni")</f>
        <v>Shri Vishal Soni</v>
      </c>
    </row>
    <row r="273" spans="1:8">
      <c r="A273" s="10">
        <f ca="1">IFERROR(__xludf.DUMMYFUNCTION("""COMPUTED_VALUE"""),27)</f>
        <v>27</v>
      </c>
      <c r="B273" s="10" t="str">
        <f ca="1">IFERROR(__xludf.DUMMYFUNCTION("""COMPUTED_VALUE"""),"Mandsaur")</f>
        <v>Mandsaur</v>
      </c>
      <c r="C273" s="10" t="str">
        <f ca="1">IFERROR(__xludf.DUMMYFUNCTION("""COMPUTED_VALUE"""),"BLUE SKY COURIER")</f>
        <v>BLUE SKY COURIER</v>
      </c>
      <c r="D273" s="10">
        <f ca="1">IFERROR(__xludf.DUMMYFUNCTION("""COMPUTED_VALUE"""),1523642939)</f>
        <v>1523642939</v>
      </c>
      <c r="E273" s="12">
        <f ca="1">IFERROR(__xludf.DUMMYFUNCTION("""COMPUTED_VALUE"""),46231)</f>
        <v>46231</v>
      </c>
      <c r="F273" s="10"/>
      <c r="G273" s="10" t="str">
        <f ca="1">IFERROR(__xludf.DUMMYFUNCTION("""COMPUTED_VALUE"""),"B2C")</f>
        <v>B2C</v>
      </c>
      <c r="H273" s="10" t="str">
        <f ca="1">IFERROR(__xludf.DUMMYFUNCTION("""COMPUTED_VALUE"""),"Shri Yash Mittal")</f>
        <v>Shri Yash Mittal</v>
      </c>
    </row>
    <row r="274" spans="1:8">
      <c r="A274" s="10">
        <f ca="1">IFERROR(__xludf.DUMMYFUNCTION("""COMPUTED_VALUE"""),28)</f>
        <v>28</v>
      </c>
      <c r="B274" s="10" t="str">
        <f ca="1">IFERROR(__xludf.DUMMYFUNCTION("""COMPUTED_VALUE"""),"Mandsaur")</f>
        <v>Mandsaur</v>
      </c>
      <c r="C274" s="10" t="str">
        <f ca="1">IFERROR(__xludf.DUMMYFUNCTION("""COMPUTED_VALUE"""),"dhani decor")</f>
        <v>dhani decor</v>
      </c>
      <c r="D274" s="10">
        <f ca="1">IFERROR(__xludf.DUMMYFUNCTION("""COMPUTED_VALUE"""),1856028538)</f>
        <v>1856028538</v>
      </c>
      <c r="E274" s="12">
        <f ca="1">IFERROR(__xludf.DUMMYFUNCTION("""COMPUTED_VALUE"""),46225)</f>
        <v>46225</v>
      </c>
      <c r="F274" s="10"/>
      <c r="G274" s="10" t="str">
        <f ca="1">IFERROR(__xludf.DUMMYFUNCTION("""COMPUTED_VALUE"""),"B2C")</f>
        <v>B2C</v>
      </c>
      <c r="H274" s="10" t="str">
        <f ca="1">IFERROR(__xludf.DUMMYFUNCTION("""COMPUTED_VALUE"""),"Shri Yash Mittal")</f>
        <v>Shri Yash Mittal</v>
      </c>
    </row>
    <row r="275" spans="1:8">
      <c r="A275" s="10">
        <f ca="1">IFERROR(__xludf.DUMMYFUNCTION("""COMPUTED_VALUE"""),29)</f>
        <v>29</v>
      </c>
      <c r="B275" s="10" t="str">
        <f ca="1">IFERROR(__xludf.DUMMYFUNCTION("""COMPUTED_VALUE"""),"Mandsaur")</f>
        <v>Mandsaur</v>
      </c>
      <c r="C275" s="10" t="str">
        <f ca="1">IFERROR(__xludf.DUMMYFUNCTION("""COMPUTED_VALUE"""),"SUNDAR SADIJ")</f>
        <v>SUNDAR SADIJ</v>
      </c>
      <c r="D275" s="10">
        <f ca="1">IFERROR(__xludf.DUMMYFUNCTION("""COMPUTED_VALUE"""),1715663884)</f>
        <v>1715663884</v>
      </c>
      <c r="E275" s="12">
        <f ca="1">IFERROR(__xludf.DUMMYFUNCTION("""COMPUTED_VALUE"""),46225)</f>
        <v>46225</v>
      </c>
      <c r="F275" s="10"/>
      <c r="G275" s="10" t="str">
        <f ca="1">IFERROR(__xludf.DUMMYFUNCTION("""COMPUTED_VALUE"""),"B2C")</f>
        <v>B2C</v>
      </c>
      <c r="H275" s="10" t="str">
        <f ca="1">IFERROR(__xludf.DUMMYFUNCTION("""COMPUTED_VALUE"""),"Shri Vishal Soni")</f>
        <v>Shri Vishal Soni</v>
      </c>
    </row>
    <row r="276" spans="1:8">
      <c r="A276" s="10">
        <f ca="1">IFERROR(__xludf.DUMMYFUNCTION("""COMPUTED_VALUE"""),30)</f>
        <v>30</v>
      </c>
      <c r="B276" s="10" t="str">
        <f ca="1">IFERROR(__xludf.DUMMYFUNCTION("""COMPUTED_VALUE"""),"Mandsaur")</f>
        <v>Mandsaur</v>
      </c>
      <c r="C276" s="10" t="str">
        <f ca="1">IFERROR(__xludf.DUMMYFUNCTION("""COMPUTED_VALUE"""),"Union Bank of India Opp Vishal Mega Mart")</f>
        <v>Union Bank of India Opp Vishal Mega Mart</v>
      </c>
      <c r="D276" s="10">
        <f ca="1">IFERROR(__xludf.DUMMYFUNCTION("""COMPUTED_VALUE"""),1261078688)</f>
        <v>1261078688</v>
      </c>
      <c r="E276" s="12">
        <f ca="1">IFERROR(__xludf.DUMMYFUNCTION("""COMPUTED_VALUE"""),46231)</f>
        <v>46231</v>
      </c>
      <c r="F276" s="10"/>
      <c r="G276" s="10" t="str">
        <f ca="1">IFERROR(__xludf.DUMMYFUNCTION("""COMPUTED_VALUE"""),"B2C")</f>
        <v>B2C</v>
      </c>
      <c r="H276" s="10" t="str">
        <f ca="1">IFERROR(__xludf.DUMMYFUNCTION("""COMPUTED_VALUE"""),"Shri Yash Mittal")</f>
        <v>Shri Yash Mittal</v>
      </c>
    </row>
    <row r="277" spans="1:8">
      <c r="A277" s="10">
        <f ca="1">IFERROR(__xludf.DUMMYFUNCTION("""COMPUTED_VALUE"""),31)</f>
        <v>31</v>
      </c>
      <c r="B277" s="10" t="str">
        <f ca="1">IFERROR(__xludf.DUMMYFUNCTION("""COMPUTED_VALUE"""),"Mandsaur")</f>
        <v>Mandsaur</v>
      </c>
      <c r="C277" s="10" t="str">
        <f ca="1">IFERROR(__xludf.DUMMYFUNCTION("""COMPUTED_VALUE"""),"VigorLifts")</f>
        <v>VigorLifts</v>
      </c>
      <c r="D277" s="10">
        <f ca="1">IFERROR(__xludf.DUMMYFUNCTION("""COMPUTED_VALUE"""),1583009510)</f>
        <v>1583009510</v>
      </c>
      <c r="E277" s="12">
        <f ca="1">IFERROR(__xludf.DUMMYFUNCTION("""COMPUTED_VALUE"""),46231)</f>
        <v>46231</v>
      </c>
      <c r="F277" s="10"/>
      <c r="G277" s="10" t="str">
        <f ca="1">IFERROR(__xludf.DUMMYFUNCTION("""COMPUTED_VALUE"""),"B2C")</f>
        <v>B2C</v>
      </c>
      <c r="H277" s="10" t="str">
        <f ca="1">IFERROR(__xludf.DUMMYFUNCTION("""COMPUTED_VALUE"""),"Shri Yash Mittal")</f>
        <v>Shri Yash Mittal</v>
      </c>
    </row>
    <row r="278" spans="1:8">
      <c r="A278" s="10">
        <f ca="1">IFERROR(__xludf.DUMMYFUNCTION("""COMPUTED_VALUE"""),32)</f>
        <v>32</v>
      </c>
      <c r="B278" s="10" t="str">
        <f ca="1">IFERROR(__xludf.DUMMYFUNCTION("""COMPUTED_VALUE"""),"Mandsaur")</f>
        <v>Mandsaur</v>
      </c>
      <c r="C278" s="10" t="str">
        <f ca="1">IFERROR(__xludf.DUMMYFUNCTION("""COMPUTED_VALUE"""),"KRSHAK EXPORTS")</f>
        <v>KRSHAK EXPORTS</v>
      </c>
      <c r="D278" s="10">
        <f ca="1">IFERROR(__xludf.DUMMYFUNCTION("""COMPUTED_VALUE"""),1481016928)</f>
        <v>1481016928</v>
      </c>
      <c r="E278" s="12">
        <f ca="1">IFERROR(__xludf.DUMMYFUNCTION("""COMPUTED_VALUE"""),46237)</f>
        <v>46237</v>
      </c>
      <c r="F278" s="10"/>
      <c r="G278" s="10" t="str">
        <f ca="1">IFERROR(__xludf.DUMMYFUNCTION("""COMPUTED_VALUE"""),"B2C")</f>
        <v>B2C</v>
      </c>
      <c r="H278" s="10" t="str">
        <f ca="1">IFERROR(__xludf.DUMMYFUNCTION("""COMPUTED_VALUE"""),"Shri Vishal Soni")</f>
        <v>Shri Vishal Soni</v>
      </c>
    </row>
    <row r="279" spans="1:8">
      <c r="A279" s="10">
        <f ca="1">IFERROR(__xludf.DUMMYFUNCTION("""COMPUTED_VALUE"""),33)</f>
        <v>33</v>
      </c>
      <c r="B279" s="10" t="str">
        <f ca="1">IFERROR(__xludf.DUMMYFUNCTION("""COMPUTED_VALUE"""),"Mandsaur")</f>
        <v>Mandsaur</v>
      </c>
      <c r="C279" s="10" t="str">
        <f ca="1">IFERROR(__xludf.DUMMYFUNCTION("""COMPUTED_VALUE"""),"State Bank of India Shamgarh")</f>
        <v>State Bank of India Shamgarh</v>
      </c>
      <c r="D279" s="10">
        <f ca="1">IFERROR(__xludf.DUMMYFUNCTION("""COMPUTED_VALUE"""),1539177445)</f>
        <v>1539177445</v>
      </c>
      <c r="E279" s="12">
        <f ca="1">IFERROR(__xludf.DUMMYFUNCTION("""COMPUTED_VALUE"""),46237)</f>
        <v>46237</v>
      </c>
      <c r="F279" s="10"/>
      <c r="G279" s="10" t="str">
        <f ca="1">IFERROR(__xludf.DUMMYFUNCTION("""COMPUTED_VALUE"""),"B2C")</f>
        <v>B2C</v>
      </c>
      <c r="H279" s="10" t="str">
        <f ca="1">IFERROR(__xludf.DUMMYFUNCTION("""COMPUTED_VALUE"""),"Shri Vishal Soni")</f>
        <v>Shri Vishal Soni</v>
      </c>
    </row>
    <row r="280" spans="1:8">
      <c r="A280" s="10">
        <f ca="1">IFERROR(__xludf.DUMMYFUNCTION("""COMPUTED_VALUE"""),34)</f>
        <v>34</v>
      </c>
      <c r="B280" s="10" t="str">
        <f ca="1">IFERROR(__xludf.DUMMYFUNCTION("""COMPUTED_VALUE"""),"Mandsaur")</f>
        <v>Mandsaur</v>
      </c>
      <c r="C280" s="10" t="str">
        <f ca="1">IFERROR(__xludf.DUMMYFUNCTION("""COMPUTED_VALUE"""),"Bharat boot house")</f>
        <v>Bharat boot house</v>
      </c>
      <c r="D280" s="10">
        <f ca="1">IFERROR(__xludf.DUMMYFUNCTION("""COMPUTED_VALUE"""),1156097205)</f>
        <v>1156097205</v>
      </c>
      <c r="E280" s="12">
        <f ca="1">IFERROR(__xludf.DUMMYFUNCTION("""COMPUTED_VALUE"""),46238)</f>
        <v>46238</v>
      </c>
      <c r="F280" s="10"/>
      <c r="G280" s="10" t="str">
        <f ca="1">IFERROR(__xludf.DUMMYFUNCTION("""COMPUTED_VALUE"""),"B2C")</f>
        <v>B2C</v>
      </c>
      <c r="H280" s="10" t="str">
        <f ca="1">IFERROR(__xludf.DUMMYFUNCTION("""COMPUTED_VALUE"""),"Shri Yash Mittal")</f>
        <v>Shri Yash Mittal</v>
      </c>
    </row>
    <row r="281" spans="1:8">
      <c r="A281" s="10">
        <f ca="1">IFERROR(__xludf.DUMMYFUNCTION("""COMPUTED_VALUE"""),35)</f>
        <v>35</v>
      </c>
      <c r="B281" s="10" t="str">
        <f ca="1">IFERROR(__xludf.DUMMYFUNCTION("""COMPUTED_VALUE"""),"Mandsaur")</f>
        <v>Mandsaur</v>
      </c>
      <c r="C281" s="10" t="str">
        <f ca="1">IFERROR(__xludf.DUMMYFUNCTION("""COMPUTED_VALUE"""),"Shadab Cut Piss")</f>
        <v>Shadab Cut Piss</v>
      </c>
      <c r="D281" s="10">
        <f ca="1">IFERROR(__xludf.DUMMYFUNCTION("""COMPUTED_VALUE"""),1409165026)</f>
        <v>1409165026</v>
      </c>
      <c r="E281" s="12">
        <f ca="1">IFERROR(__xludf.DUMMYFUNCTION("""COMPUTED_VALUE"""),46238)</f>
        <v>46238</v>
      </c>
      <c r="F281" s="10"/>
      <c r="G281" s="10" t="str">
        <f ca="1">IFERROR(__xludf.DUMMYFUNCTION("""COMPUTED_VALUE"""),"B2C")</f>
        <v>B2C</v>
      </c>
      <c r="H281" s="10" t="str">
        <f ca="1">IFERROR(__xludf.DUMMYFUNCTION("""COMPUTED_VALUE"""),"Shri Vishal Soni")</f>
        <v>Shri Vishal Soni</v>
      </c>
    </row>
    <row r="282" spans="1:8">
      <c r="A282" s="10">
        <f ca="1">IFERROR(__xludf.DUMMYFUNCTION("""COMPUTED_VALUE"""),36)</f>
        <v>36</v>
      </c>
      <c r="B282" s="10" t="str">
        <f ca="1">IFERROR(__xludf.DUMMYFUNCTION("""COMPUTED_VALUE"""),"Mandsaur")</f>
        <v>Mandsaur</v>
      </c>
      <c r="C282" s="10" t="str">
        <f ca="1">IFERROR(__xludf.DUMMYFUNCTION("""COMPUTED_VALUE"""),"Shanti slate pen")</f>
        <v>Shanti slate pen</v>
      </c>
      <c r="D282" s="10">
        <f ca="1">IFERROR(__xludf.DUMMYFUNCTION("""COMPUTED_VALUE"""),1398641363)</f>
        <v>1398641363</v>
      </c>
      <c r="E282" s="12">
        <f ca="1">IFERROR(__xludf.DUMMYFUNCTION("""COMPUTED_VALUE"""),46238)</f>
        <v>46238</v>
      </c>
      <c r="F282" s="10"/>
      <c r="G282" s="10" t="str">
        <f ca="1">IFERROR(__xludf.DUMMYFUNCTION("""COMPUTED_VALUE"""),"B2C")</f>
        <v>B2C</v>
      </c>
      <c r="H282" s="10" t="str">
        <f ca="1">IFERROR(__xludf.DUMMYFUNCTION("""COMPUTED_VALUE"""),"Shri Vishal Soni")</f>
        <v>Shri Vishal Soni</v>
      </c>
    </row>
    <row r="283" spans="1:8">
      <c r="A283" s="10">
        <f ca="1">IFERROR(__xludf.DUMMYFUNCTION("""COMPUTED_VALUE"""),37)</f>
        <v>37</v>
      </c>
      <c r="B283" s="10" t="str">
        <f ca="1">IFERROR(__xludf.DUMMYFUNCTION("""COMPUTED_VALUE"""),"Mandsaur")</f>
        <v>Mandsaur</v>
      </c>
      <c r="C283" s="10" t="str">
        <f ca="1">IFERROR(__xludf.DUMMYFUNCTION("""COMPUTED_VALUE"""),"Madhya Bharat Ceramic")</f>
        <v>Madhya Bharat Ceramic</v>
      </c>
      <c r="D283" s="10">
        <f ca="1">IFERROR(__xludf.DUMMYFUNCTION("""COMPUTED_VALUE"""),1392274382)</f>
        <v>1392274382</v>
      </c>
      <c r="E283" s="12">
        <f ca="1">IFERROR(__xludf.DUMMYFUNCTION("""COMPUTED_VALUE"""),46238)</f>
        <v>46238</v>
      </c>
      <c r="F283" s="10"/>
      <c r="G283" s="10" t="str">
        <f ca="1">IFERROR(__xludf.DUMMYFUNCTION("""COMPUTED_VALUE"""),"B2C")</f>
        <v>B2C</v>
      </c>
      <c r="H283" s="10" t="str">
        <f ca="1">IFERROR(__xludf.DUMMYFUNCTION("""COMPUTED_VALUE"""),"Shri Yash Mittal")</f>
        <v>Shri Yash Mittal</v>
      </c>
    </row>
    <row r="284" spans="1:8">
      <c r="A284" s="10">
        <f ca="1">IFERROR(__xludf.DUMMYFUNCTION("""COMPUTED_VALUE"""),38)</f>
        <v>38</v>
      </c>
      <c r="B284" s="10" t="str">
        <f ca="1">IFERROR(__xludf.DUMMYFUNCTION("""COMPUTED_VALUE"""),"Mandsaur")</f>
        <v>Mandsaur</v>
      </c>
      <c r="C284" s="10" t="str">
        <f ca="1">IFERROR(__xludf.DUMMYFUNCTION("""COMPUTED_VALUE"""),"SHRI KEDAR ART GALLERY")</f>
        <v>SHRI KEDAR ART GALLERY</v>
      </c>
      <c r="D284" s="10">
        <f ca="1">IFERROR(__xludf.DUMMYFUNCTION("""COMPUTED_VALUE"""),1901839271)</f>
        <v>1901839271</v>
      </c>
      <c r="E284" s="12">
        <f ca="1">IFERROR(__xludf.DUMMYFUNCTION("""COMPUTED_VALUE"""),46240)</f>
        <v>46240</v>
      </c>
      <c r="F284" s="10"/>
      <c r="G284" s="10" t="str">
        <f ca="1">IFERROR(__xludf.DUMMYFUNCTION("""COMPUTED_VALUE"""),"B2C")</f>
        <v>B2C</v>
      </c>
      <c r="H284" s="10" t="str">
        <f ca="1">IFERROR(__xludf.DUMMYFUNCTION("""COMPUTED_VALUE"""),"Shri Vishal Soni")</f>
        <v>Shri Vishal Soni</v>
      </c>
    </row>
    <row r="285" spans="1:8">
      <c r="A285" s="10">
        <f ca="1">IFERROR(__xludf.DUMMYFUNCTION("""COMPUTED_VALUE"""),39)</f>
        <v>39</v>
      </c>
      <c r="B285" s="10" t="str">
        <f ca="1">IFERROR(__xludf.DUMMYFUNCTION("""COMPUTED_VALUE"""),"Mandsaur")</f>
        <v>Mandsaur</v>
      </c>
      <c r="C285" s="10" t="str">
        <f ca="1">IFERROR(__xludf.DUMMYFUNCTION("""COMPUTED_VALUE"""),"ARSHIN INTERPRIZES")</f>
        <v>ARSHIN INTERPRIZES</v>
      </c>
      <c r="D285" s="10">
        <f ca="1">IFERROR(__xludf.DUMMYFUNCTION("""COMPUTED_VALUE"""),1187868072)</f>
        <v>1187868072</v>
      </c>
      <c r="E285" s="12">
        <f ca="1">IFERROR(__xludf.DUMMYFUNCTION("""COMPUTED_VALUE"""),46240)</f>
        <v>46240</v>
      </c>
      <c r="F285" s="10"/>
      <c r="G285" s="10" t="str">
        <f ca="1">IFERROR(__xludf.DUMMYFUNCTION("""COMPUTED_VALUE"""),"B2C")</f>
        <v>B2C</v>
      </c>
      <c r="H285" s="10" t="str">
        <f ca="1">IFERROR(__xludf.DUMMYFUNCTION("""COMPUTED_VALUE"""),"Shri Yash Mittal")</f>
        <v>Shri Yash Mittal</v>
      </c>
    </row>
    <row r="286" spans="1:8">
      <c r="A286" s="10">
        <f ca="1">IFERROR(__xludf.DUMMYFUNCTION("""COMPUTED_VALUE"""),40)</f>
        <v>40</v>
      </c>
      <c r="B286" s="10" t="str">
        <f ca="1">IFERROR(__xludf.DUMMYFUNCTION("""COMPUTED_VALUE"""),"Mandsaur")</f>
        <v>Mandsaur</v>
      </c>
      <c r="C286" s="10" t="str">
        <f ca="1">IFERROR(__xludf.DUMMYFUNCTION("""COMPUTED_VALUE"""),"IBRAHIM MULLA RASULJI")</f>
        <v>IBRAHIM MULLA RASULJI</v>
      </c>
      <c r="D286" s="10">
        <f ca="1">IFERROR(__xludf.DUMMYFUNCTION("""COMPUTED_VALUE"""),1140872866)</f>
        <v>1140872866</v>
      </c>
      <c r="E286" s="12">
        <f ca="1">IFERROR(__xludf.DUMMYFUNCTION("""COMPUTED_VALUE"""),46240)</f>
        <v>46240</v>
      </c>
      <c r="F286" s="10"/>
      <c r="G286" s="10" t="str">
        <f ca="1">IFERROR(__xludf.DUMMYFUNCTION("""COMPUTED_VALUE"""),"B2C")</f>
        <v>B2C</v>
      </c>
      <c r="H286" s="10" t="str">
        <f ca="1">IFERROR(__xludf.DUMMYFUNCTION("""COMPUTED_VALUE"""),"Shri Vishal Soni")</f>
        <v>Shri Vishal Soni</v>
      </c>
    </row>
    <row r="287" spans="1:8">
      <c r="A287" s="10">
        <f ca="1">IFERROR(__xludf.DUMMYFUNCTION("""COMPUTED_VALUE"""),41)</f>
        <v>41</v>
      </c>
      <c r="B287" s="10" t="str">
        <f ca="1">IFERROR(__xludf.DUMMYFUNCTION("""COMPUTED_VALUE"""),"Mandsaur")</f>
        <v>Mandsaur</v>
      </c>
      <c r="C287" s="10" t="str">
        <f ca="1">IFERROR(__xludf.DUMMYFUNCTION("""COMPUTED_VALUE"""),"SP SALES PROP SAYYAD SHABAZ")</f>
        <v>SP SALES PROP SAYYAD SHABAZ</v>
      </c>
      <c r="D287" s="10">
        <f ca="1">IFERROR(__xludf.DUMMYFUNCTION("""COMPUTED_VALUE"""),1444855308)</f>
        <v>1444855308</v>
      </c>
      <c r="E287" s="12">
        <f ca="1">IFERROR(__xludf.DUMMYFUNCTION("""COMPUTED_VALUE"""),46240)</f>
        <v>46240</v>
      </c>
      <c r="F287" s="10"/>
      <c r="G287" s="10" t="str">
        <f ca="1">IFERROR(__xludf.DUMMYFUNCTION("""COMPUTED_VALUE"""),"B2C")</f>
        <v>B2C</v>
      </c>
      <c r="H287" s="10" t="str">
        <f ca="1">IFERROR(__xludf.DUMMYFUNCTION("""COMPUTED_VALUE"""),"Shri Vishal Soni")</f>
        <v>Shri Vishal Soni</v>
      </c>
    </row>
    <row r="288" spans="1:8">
      <c r="A288" s="10">
        <f ca="1">IFERROR(__xludf.DUMMYFUNCTION("""COMPUTED_VALUE"""),42)</f>
        <v>42</v>
      </c>
      <c r="B288" s="10" t="str">
        <f ca="1">IFERROR(__xludf.DUMMYFUNCTION("""COMPUTED_VALUE"""),"Mandsaur")</f>
        <v>Mandsaur</v>
      </c>
      <c r="C288" s="10" t="str">
        <f ca="1">IFERROR(__xludf.DUMMYFUNCTION("""COMPUTED_VALUE"""),"ARIHANT GARMENTS")</f>
        <v>ARIHANT GARMENTS</v>
      </c>
      <c r="D288" s="10">
        <f ca="1">IFERROR(__xludf.DUMMYFUNCTION("""COMPUTED_VALUE"""),1890601012)</f>
        <v>1890601012</v>
      </c>
      <c r="E288" s="12">
        <f ca="1">IFERROR(__xludf.DUMMYFUNCTION("""COMPUTED_VALUE"""),46240)</f>
        <v>46240</v>
      </c>
      <c r="F288" s="10"/>
      <c r="G288" s="10" t="str">
        <f ca="1">IFERROR(__xludf.DUMMYFUNCTION("""COMPUTED_VALUE"""),"B2C")</f>
        <v>B2C</v>
      </c>
      <c r="H288" s="10" t="str">
        <f ca="1">IFERROR(__xludf.DUMMYFUNCTION("""COMPUTED_VALUE"""),"Shri Yash Mittal")</f>
        <v>Shri Yash Mittal</v>
      </c>
    </row>
    <row r="289" spans="1:8">
      <c r="A289" s="10">
        <f ca="1">IFERROR(__xludf.DUMMYFUNCTION("""COMPUTED_VALUE"""),43)</f>
        <v>43</v>
      </c>
      <c r="B289" s="10" t="str">
        <f ca="1">IFERROR(__xludf.DUMMYFUNCTION("""COMPUTED_VALUE"""),"Mandsaur")</f>
        <v>Mandsaur</v>
      </c>
      <c r="C289" s="10" t="str">
        <f ca="1">IFERROR(__xludf.DUMMYFUNCTION("""COMPUTED_VALUE"""),"PRIYADARSHAN ENTERPRISES")</f>
        <v>PRIYADARSHAN ENTERPRISES</v>
      </c>
      <c r="D289" s="10">
        <f ca="1">IFERROR(__xludf.DUMMYFUNCTION("""COMPUTED_VALUE"""),1163494241)</f>
        <v>1163494241</v>
      </c>
      <c r="E289" s="12">
        <f ca="1">IFERROR(__xludf.DUMMYFUNCTION("""COMPUTED_VALUE"""),46240)</f>
        <v>46240</v>
      </c>
      <c r="F289" s="10"/>
      <c r="G289" s="10" t="str">
        <f ca="1">IFERROR(__xludf.DUMMYFUNCTION("""COMPUTED_VALUE"""),"B2C")</f>
        <v>B2C</v>
      </c>
      <c r="H289" s="10" t="str">
        <f ca="1">IFERROR(__xludf.DUMMYFUNCTION("""COMPUTED_VALUE"""),"Shri Yash Mittal")</f>
        <v>Shri Yash Mittal</v>
      </c>
    </row>
    <row r="290" spans="1:8">
      <c r="A290" s="10">
        <f ca="1">IFERROR(__xludf.DUMMYFUNCTION("""COMPUTED_VALUE"""),44)</f>
        <v>44</v>
      </c>
      <c r="B290" s="10" t="str">
        <f ca="1">IFERROR(__xludf.DUMMYFUNCTION("""COMPUTED_VALUE"""),"Mandsaur")</f>
        <v>Mandsaur</v>
      </c>
      <c r="C290" s="10" t="str">
        <f ca="1">IFERROR(__xludf.DUMMYFUNCTION("""COMPUTED_VALUE"""),"DHANI DECORE")</f>
        <v>DHANI DECORE</v>
      </c>
      <c r="D290" s="10">
        <f ca="1">IFERROR(__xludf.DUMMYFUNCTION("""COMPUTED_VALUE"""),1856028538)</f>
        <v>1856028538</v>
      </c>
      <c r="E290" s="12">
        <f ca="1">IFERROR(__xludf.DUMMYFUNCTION("""COMPUTED_VALUE"""),46240)</f>
        <v>46240</v>
      </c>
      <c r="F290" s="10"/>
      <c r="G290" s="10" t="str">
        <f ca="1">IFERROR(__xludf.DUMMYFUNCTION("""COMPUTED_VALUE"""),"B2C")</f>
        <v>B2C</v>
      </c>
      <c r="H290" s="10" t="str">
        <f ca="1">IFERROR(__xludf.DUMMYFUNCTION("""COMPUTED_VALUE"""),"Shri Yash Mittal")</f>
        <v>Shri Yash Mittal</v>
      </c>
    </row>
    <row r="291" spans="1:8">
      <c r="A291" s="10">
        <f ca="1">IFERROR(__xludf.DUMMYFUNCTION("""COMPUTED_VALUE"""),45)</f>
        <v>45</v>
      </c>
      <c r="B291" s="10" t="str">
        <f ca="1">IFERROR(__xludf.DUMMYFUNCTION("""COMPUTED_VALUE"""),"Mandsaur")</f>
        <v>Mandsaur</v>
      </c>
      <c r="C291" s="10" t="str">
        <f ca="1">IFERROR(__xludf.DUMMYFUNCTION("""COMPUTED_VALUE"""),"Rajasthani Vastralay")</f>
        <v>Rajasthani Vastralay</v>
      </c>
      <c r="D291" s="10">
        <f ca="1">IFERROR(__xludf.DUMMYFUNCTION("""COMPUTED_VALUE"""),1503403948)</f>
        <v>1503403948</v>
      </c>
      <c r="E291" s="12">
        <f ca="1">IFERROR(__xludf.DUMMYFUNCTION("""COMPUTED_VALUE"""),46240)</f>
        <v>46240</v>
      </c>
      <c r="F291" s="10"/>
      <c r="G291" s="10" t="str">
        <f ca="1">IFERROR(__xludf.DUMMYFUNCTION("""COMPUTED_VALUE"""),"B2C")</f>
        <v>B2C</v>
      </c>
      <c r="H291" s="10" t="str">
        <f ca="1">IFERROR(__xludf.DUMMYFUNCTION("""COMPUTED_VALUE"""),"Shri Yash Mittal")</f>
        <v>Shri Yash Mittal</v>
      </c>
    </row>
    <row r="292" spans="1:8">
      <c r="A292" s="10">
        <f ca="1">IFERROR(__xludf.DUMMYFUNCTION("""COMPUTED_VALUE"""),46)</f>
        <v>46</v>
      </c>
      <c r="B292" s="10" t="str">
        <f ca="1">IFERROR(__xludf.DUMMYFUNCTION("""COMPUTED_VALUE"""),"Mandsaur")</f>
        <v>Mandsaur</v>
      </c>
      <c r="C292" s="10" t="str">
        <f ca="1">IFERROR(__xludf.DUMMYFUNCTION("""COMPUTED_VALUE"""),"MAA BANESHWARI MOBILE")</f>
        <v>MAA BANESHWARI MOBILE</v>
      </c>
      <c r="D292" s="10">
        <f ca="1">IFERROR(__xludf.DUMMYFUNCTION("""COMPUTED_VALUE"""),1563664403)</f>
        <v>1563664403</v>
      </c>
      <c r="E292" s="12">
        <f ca="1">IFERROR(__xludf.DUMMYFUNCTION("""COMPUTED_VALUE"""),46240)</f>
        <v>46240</v>
      </c>
      <c r="F292" s="10"/>
      <c r="G292" s="10" t="str">
        <f ca="1">IFERROR(__xludf.DUMMYFUNCTION("""COMPUTED_VALUE"""),"B2C")</f>
        <v>B2C</v>
      </c>
      <c r="H292" s="10" t="str">
        <f ca="1">IFERROR(__xludf.DUMMYFUNCTION("""COMPUTED_VALUE"""),"Shri Yash Mittal")</f>
        <v>Shri Yash Mittal</v>
      </c>
    </row>
    <row r="293" spans="1:8">
      <c r="A293" s="10">
        <f ca="1">IFERROR(__xludf.DUMMYFUNCTION("""COMPUTED_VALUE"""),47)</f>
        <v>47</v>
      </c>
      <c r="B293" s="10" t="str">
        <f ca="1">IFERROR(__xludf.DUMMYFUNCTION("""COMPUTED_VALUE"""),"Mandsaur")</f>
        <v>Mandsaur</v>
      </c>
      <c r="C293" s="10" t="str">
        <f ca="1">IFERROR(__xludf.DUMMYFUNCTION("""COMPUTED_VALUE"""),"PANKAJ PATIDAR")</f>
        <v>PANKAJ PATIDAR</v>
      </c>
      <c r="D293" s="10">
        <f ca="1">IFERROR(__xludf.DUMMYFUNCTION("""COMPUTED_VALUE"""),1126866508)</f>
        <v>1126866508</v>
      </c>
      <c r="E293" s="12">
        <f ca="1">IFERROR(__xludf.DUMMYFUNCTION("""COMPUTED_VALUE"""),46240)</f>
        <v>46240</v>
      </c>
      <c r="F293" s="10"/>
      <c r="G293" s="10" t="str">
        <f ca="1">IFERROR(__xludf.DUMMYFUNCTION("""COMPUTED_VALUE"""),"B2C")</f>
        <v>B2C</v>
      </c>
      <c r="H293" s="10" t="str">
        <f ca="1">IFERROR(__xludf.DUMMYFUNCTION("""COMPUTED_VALUE"""),"Shri Yash Mittal")</f>
        <v>Shri Yash Mittal</v>
      </c>
    </row>
    <row r="294" spans="1:8">
      <c r="A294" s="10">
        <f ca="1">IFERROR(__xludf.DUMMYFUNCTION("""COMPUTED_VALUE"""),48)</f>
        <v>48</v>
      </c>
      <c r="B294" s="10" t="str">
        <f ca="1">IFERROR(__xludf.DUMMYFUNCTION("""COMPUTED_VALUE"""),"Mandsaur")</f>
        <v>Mandsaur</v>
      </c>
      <c r="C294" s="10" t="str">
        <f ca="1">IFERROR(__xludf.DUMMYFUNCTION("""COMPUTED_VALUE"""),"raj bag and aarmi store")</f>
        <v>raj bag and aarmi store</v>
      </c>
      <c r="D294" s="10">
        <f ca="1">IFERROR(__xludf.DUMMYFUNCTION("""COMPUTED_VALUE"""),1530201710)</f>
        <v>1530201710</v>
      </c>
      <c r="E294" s="12">
        <f ca="1">IFERROR(__xludf.DUMMYFUNCTION("""COMPUTED_VALUE"""),46246)</f>
        <v>46246</v>
      </c>
      <c r="F294" s="10"/>
      <c r="G294" s="10" t="str">
        <f ca="1">IFERROR(__xludf.DUMMYFUNCTION("""COMPUTED_VALUE"""),"B2C")</f>
        <v>B2C</v>
      </c>
      <c r="H294" s="10" t="str">
        <f ca="1">IFERROR(__xludf.DUMMYFUNCTION("""COMPUTED_VALUE"""),"Shri Yash Mittal")</f>
        <v>Shri Yash Mittal</v>
      </c>
    </row>
    <row r="295" spans="1:8">
      <c r="A295" s="10">
        <f ca="1">IFERROR(__xludf.DUMMYFUNCTION("""COMPUTED_VALUE"""),49)</f>
        <v>49</v>
      </c>
      <c r="B295" s="10" t="str">
        <f ca="1">IFERROR(__xludf.DUMMYFUNCTION("""COMPUTED_VALUE"""),"Mandsaur")</f>
        <v>Mandsaur</v>
      </c>
      <c r="C295" s="10" t="str">
        <f ca="1">IFERROR(__xludf.DUMMYFUNCTION("""COMPUTED_VALUE"""),"blue sky courier")</f>
        <v>blue sky courier</v>
      </c>
      <c r="D295" s="10">
        <f ca="1">IFERROR(__xludf.DUMMYFUNCTION("""COMPUTED_VALUE"""),1523642939)</f>
        <v>1523642939</v>
      </c>
      <c r="E295" s="12">
        <f ca="1">IFERROR(__xludf.DUMMYFUNCTION("""COMPUTED_VALUE"""),46240)</f>
        <v>46240</v>
      </c>
      <c r="F295" s="10"/>
      <c r="G295" s="10" t="str">
        <f ca="1">IFERROR(__xludf.DUMMYFUNCTION("""COMPUTED_VALUE"""),"B2C")</f>
        <v>B2C</v>
      </c>
      <c r="H295" s="10" t="str">
        <f ca="1">IFERROR(__xludf.DUMMYFUNCTION("""COMPUTED_VALUE"""),"Shri Yash Mittal")</f>
        <v>Shri Yash Mittal</v>
      </c>
    </row>
    <row r="296" spans="1:8">
      <c r="A296" s="10">
        <f ca="1">IFERROR(__xludf.DUMMYFUNCTION("""COMPUTED_VALUE"""),50)</f>
        <v>50</v>
      </c>
      <c r="B296" s="10" t="str">
        <f ca="1">IFERROR(__xludf.DUMMYFUNCTION("""COMPUTED_VALUE"""),"Mandsaur")</f>
        <v>Mandsaur</v>
      </c>
      <c r="C296" s="10" t="str">
        <f ca="1">IFERROR(__xludf.DUMMYFUNCTION("""COMPUTED_VALUE"""),"agrwal ges service")</f>
        <v>agrwal ges service</v>
      </c>
      <c r="D296" s="10">
        <f ca="1">IFERROR(__xludf.DUMMYFUNCTION("""COMPUTED_VALUE"""),1218687059)</f>
        <v>1218687059</v>
      </c>
      <c r="E296" s="12">
        <f ca="1">IFERROR(__xludf.DUMMYFUNCTION("""COMPUTED_VALUE"""),46246)</f>
        <v>46246</v>
      </c>
      <c r="F296" s="10"/>
      <c r="G296" s="10" t="str">
        <f ca="1">IFERROR(__xludf.DUMMYFUNCTION("""COMPUTED_VALUE"""),"B2C")</f>
        <v>B2C</v>
      </c>
      <c r="H296" s="10" t="str">
        <f ca="1">IFERROR(__xludf.DUMMYFUNCTION("""COMPUTED_VALUE"""),"Shri Yash Mittal")</f>
        <v>Shri Yash Mittal</v>
      </c>
    </row>
    <row r="297" spans="1:8">
      <c r="A297" s="10">
        <f ca="1">IFERROR(__xludf.DUMMYFUNCTION("""COMPUTED_VALUE"""),51)</f>
        <v>51</v>
      </c>
      <c r="B297" s="10" t="str">
        <f ca="1">IFERROR(__xludf.DUMMYFUNCTION("""COMPUTED_VALUE"""),"Mandsaur")</f>
        <v>Mandsaur</v>
      </c>
      <c r="C297" s="10" t="str">
        <f ca="1">IFERROR(__xludf.DUMMYFUNCTION("""COMPUTED_VALUE"""),"SONI WORLD SLATES")</f>
        <v>SONI WORLD SLATES</v>
      </c>
      <c r="D297" s="10">
        <f ca="1">IFERROR(__xludf.DUMMYFUNCTION("""COMPUTED_VALUE"""),1269851343)</f>
        <v>1269851343</v>
      </c>
      <c r="E297" s="12">
        <f ca="1">IFERROR(__xludf.DUMMYFUNCTION("""COMPUTED_VALUE"""),46240)</f>
        <v>46240</v>
      </c>
      <c r="F297" s="10"/>
      <c r="G297" s="10" t="str">
        <f ca="1">IFERROR(__xludf.DUMMYFUNCTION("""COMPUTED_VALUE"""),"B2C")</f>
        <v>B2C</v>
      </c>
      <c r="H297" s="10" t="str">
        <f ca="1">IFERROR(__xludf.DUMMYFUNCTION("""COMPUTED_VALUE"""),"Shri Yash Mittal")</f>
        <v>Shri Yash Mittal</v>
      </c>
    </row>
    <row r="298" spans="1:8">
      <c r="A298" s="10">
        <f ca="1">IFERROR(__xludf.DUMMYFUNCTION("""COMPUTED_VALUE"""),52)</f>
        <v>52</v>
      </c>
      <c r="B298" s="10" t="str">
        <f ca="1">IFERROR(__xludf.DUMMYFUNCTION("""COMPUTED_VALUE"""),"Mandsaur")</f>
        <v>Mandsaur</v>
      </c>
      <c r="C298" s="10" t="str">
        <f ca="1">IFERROR(__xludf.DUMMYFUNCTION("""COMPUTED_VALUE"""),"Choice herbs")</f>
        <v>Choice herbs</v>
      </c>
      <c r="D298" s="10">
        <f ca="1">IFERROR(__xludf.DUMMYFUNCTION("""COMPUTED_VALUE"""),1426790954)</f>
        <v>1426790954</v>
      </c>
      <c r="E298" s="12">
        <f ca="1">IFERROR(__xludf.DUMMYFUNCTION("""COMPUTED_VALUE"""),46261)</f>
        <v>46261</v>
      </c>
      <c r="F298" s="10"/>
      <c r="G298" s="10" t="str">
        <f ca="1">IFERROR(__xludf.DUMMYFUNCTION("""COMPUTED_VALUE"""),"B2C")</f>
        <v>B2C</v>
      </c>
      <c r="H298" s="10" t="str">
        <f ca="1">IFERROR(__xludf.DUMMYFUNCTION("""COMPUTED_VALUE"""),"Shri Yash Mittal")</f>
        <v>Shri Yash Mittal</v>
      </c>
    </row>
    <row r="299" spans="1:8">
      <c r="A299" s="10">
        <f ca="1">IFERROR(__xludf.DUMMYFUNCTION("""COMPUTED_VALUE"""),53)</f>
        <v>53</v>
      </c>
      <c r="B299" s="10" t="str">
        <f ca="1">IFERROR(__xludf.DUMMYFUNCTION("""COMPUTED_VALUE"""),"Mandsaur")</f>
        <v>Mandsaur</v>
      </c>
      <c r="C299" s="10" t="str">
        <f ca="1">IFERROR(__xludf.DUMMYFUNCTION("""COMPUTED_VALUE"""),"State Bank of India Garoth")</f>
        <v>State Bank of India Garoth</v>
      </c>
      <c r="D299" s="10">
        <f ca="1">IFERROR(__xludf.DUMMYFUNCTION("""COMPUTED_VALUE"""),1448482866)</f>
        <v>1448482866</v>
      </c>
      <c r="E299" s="12">
        <f ca="1">IFERROR(__xludf.DUMMYFUNCTION("""COMPUTED_VALUE"""),46240)</f>
        <v>46240</v>
      </c>
      <c r="F299" s="10"/>
      <c r="G299" s="10" t="str">
        <f ca="1">IFERROR(__xludf.DUMMYFUNCTION("""COMPUTED_VALUE"""),"B2C")</f>
        <v>B2C</v>
      </c>
      <c r="H299" s="10" t="str">
        <f ca="1">IFERROR(__xludf.DUMMYFUNCTION("""COMPUTED_VALUE"""),"Shri Vishal Soni")</f>
        <v>Shri Vishal Soni</v>
      </c>
    </row>
    <row r="300" spans="1:8">
      <c r="A300" s="10">
        <f ca="1">IFERROR(__xludf.DUMMYFUNCTION("""COMPUTED_VALUE"""),54)</f>
        <v>54</v>
      </c>
      <c r="B300" s="10" t="str">
        <f ca="1">IFERROR(__xludf.DUMMYFUNCTION("""COMPUTED_VALUE"""),"Mandsaur")</f>
        <v>Mandsaur</v>
      </c>
      <c r="C300" s="10" t="str">
        <f ca="1">IFERROR(__xludf.DUMMYFUNCTION("""COMPUTED_VALUE"""),"SHREE NALCHA MATA VASTRALAYA EVAM SAMAGRY")</f>
        <v>SHREE NALCHA MATA VASTRALAYA EVAM SAMAGRY</v>
      </c>
      <c r="D300" s="10">
        <f ca="1">IFERROR(__xludf.DUMMYFUNCTION("""COMPUTED_VALUE"""),1440704014)</f>
        <v>1440704014</v>
      </c>
      <c r="E300" s="12">
        <f ca="1">IFERROR(__xludf.DUMMYFUNCTION("""COMPUTED_VALUE"""),46240)</f>
        <v>46240</v>
      </c>
      <c r="F300" s="10"/>
      <c r="G300" s="10" t="str">
        <f ca="1">IFERROR(__xludf.DUMMYFUNCTION("""COMPUTED_VALUE"""),"B2C")</f>
        <v>B2C</v>
      </c>
      <c r="H300" s="10" t="str">
        <f ca="1">IFERROR(__xludf.DUMMYFUNCTION("""COMPUTED_VALUE"""),"Shri Vishal Soni")</f>
        <v>Shri Vishal Soni</v>
      </c>
    </row>
    <row r="301" spans="1:8">
      <c r="A301" s="10">
        <f ca="1">IFERROR(__xludf.DUMMYFUNCTION("""COMPUTED_VALUE"""),55)</f>
        <v>55</v>
      </c>
      <c r="B301" s="10" t="str">
        <f ca="1">IFERROR(__xludf.DUMMYFUNCTION("""COMPUTED_VALUE"""),"Mandsaur")</f>
        <v>Mandsaur</v>
      </c>
      <c r="C301" s="10" t="str">
        <f ca="1">IFERROR(__xludf.DUMMYFUNCTION("""COMPUTED_VALUE"""),"M/S PARIVESH")</f>
        <v>M/S PARIVESH</v>
      </c>
      <c r="D301" s="10">
        <f ca="1">IFERROR(__xludf.DUMMYFUNCTION("""COMPUTED_VALUE"""),1428012293)</f>
        <v>1428012293</v>
      </c>
      <c r="E301" s="12">
        <f ca="1">IFERROR(__xludf.DUMMYFUNCTION("""COMPUTED_VALUE"""),46240)</f>
        <v>46240</v>
      </c>
      <c r="F301" s="10"/>
      <c r="G301" s="10" t="str">
        <f ca="1">IFERROR(__xludf.DUMMYFUNCTION("""COMPUTED_VALUE"""),"B2C")</f>
        <v>B2C</v>
      </c>
      <c r="H301" s="10" t="str">
        <f ca="1">IFERROR(__xludf.DUMMYFUNCTION("""COMPUTED_VALUE"""),"Shri Yash Mittal")</f>
        <v>Shri Yash Mittal</v>
      </c>
    </row>
    <row r="302" spans="1:8">
      <c r="A302" s="10">
        <f ca="1">IFERROR(__xludf.DUMMYFUNCTION("""COMPUTED_VALUE"""),56)</f>
        <v>56</v>
      </c>
      <c r="B302" s="10" t="str">
        <f ca="1">IFERROR(__xludf.DUMMYFUNCTION("""COMPUTED_VALUE"""),"Mandsaur")</f>
        <v>Mandsaur</v>
      </c>
      <c r="C302" s="10" t="str">
        <f ca="1">IFERROR(__xludf.DUMMYFUNCTION("""COMPUTED_VALUE"""),"Oswal Marketing")</f>
        <v>Oswal Marketing</v>
      </c>
      <c r="D302" s="10">
        <f ca="1">IFERROR(__xludf.DUMMYFUNCTION("""COMPUTED_VALUE"""),1465037412)</f>
        <v>1465037412</v>
      </c>
      <c r="E302" s="12">
        <f ca="1">IFERROR(__xludf.DUMMYFUNCTION("""COMPUTED_VALUE"""),46240)</f>
        <v>46240</v>
      </c>
      <c r="F302" s="10"/>
      <c r="G302" s="10" t="str">
        <f ca="1">IFERROR(__xludf.DUMMYFUNCTION("""COMPUTED_VALUE"""),"B2C")</f>
        <v>B2C</v>
      </c>
      <c r="H302" s="10" t="str">
        <f ca="1">IFERROR(__xludf.DUMMYFUNCTION("""COMPUTED_VALUE"""),"Shri Vishal Soni")</f>
        <v>Shri Vishal Soni</v>
      </c>
    </row>
    <row r="303" spans="1:8">
      <c r="A303" s="10">
        <f ca="1">IFERROR(__xludf.DUMMYFUNCTION("""COMPUTED_VALUE"""),57)</f>
        <v>57</v>
      </c>
      <c r="B303" s="10" t="str">
        <f ca="1">IFERROR(__xludf.DUMMYFUNCTION("""COMPUTED_VALUE"""),"Mandsaur")</f>
        <v>Mandsaur</v>
      </c>
      <c r="C303" s="10" t="str">
        <f ca="1">IFERROR(__xludf.DUMMYFUNCTION("""COMPUTED_VALUE"""),"PORWAL DESIGNER")</f>
        <v>PORWAL DESIGNER</v>
      </c>
      <c r="D303" s="10">
        <f ca="1">IFERROR(__xludf.DUMMYFUNCTION("""COMPUTED_VALUE"""),1236200973)</f>
        <v>1236200973</v>
      </c>
      <c r="E303" s="12">
        <f ca="1">IFERROR(__xludf.DUMMYFUNCTION("""COMPUTED_VALUE"""),46241)</f>
        <v>46241</v>
      </c>
      <c r="F303" s="10"/>
      <c r="G303" s="10" t="str">
        <f ca="1">IFERROR(__xludf.DUMMYFUNCTION("""COMPUTED_VALUE"""),"B2C")</f>
        <v>B2C</v>
      </c>
      <c r="H303" s="10" t="str">
        <f ca="1">IFERROR(__xludf.DUMMYFUNCTION("""COMPUTED_VALUE"""),"Shri Yash Mittal")</f>
        <v>Shri Yash Mittal</v>
      </c>
    </row>
    <row r="304" spans="1:8">
      <c r="A304" s="10">
        <f ca="1">IFERROR(__xludf.DUMMYFUNCTION("""COMPUTED_VALUE"""),58)</f>
        <v>58</v>
      </c>
      <c r="B304" s="10" t="str">
        <f ca="1">IFERROR(__xludf.DUMMYFUNCTION("""COMPUTED_VALUE"""),"Mandsaur")</f>
        <v>Mandsaur</v>
      </c>
      <c r="C304" s="10" t="str">
        <f ca="1">IFERROR(__xludf.DUMMYFUNCTION("""COMPUTED_VALUE"""),"JAYA HARBAL PRODUCTS")</f>
        <v>JAYA HARBAL PRODUCTS</v>
      </c>
      <c r="D304" s="10">
        <f ca="1">IFERROR(__xludf.DUMMYFUNCTION("""COMPUTED_VALUE"""),1597432662)</f>
        <v>1597432662</v>
      </c>
      <c r="E304" s="12">
        <f ca="1">IFERROR(__xludf.DUMMYFUNCTION("""COMPUTED_VALUE"""),46244)</f>
        <v>46244</v>
      </c>
      <c r="F304" s="10"/>
      <c r="G304" s="10" t="str">
        <f ca="1">IFERROR(__xludf.DUMMYFUNCTION("""COMPUTED_VALUE"""),"B2C")</f>
        <v>B2C</v>
      </c>
      <c r="H304" s="10" t="str">
        <f ca="1">IFERROR(__xludf.DUMMYFUNCTION("""COMPUTED_VALUE"""),"Shri Vishal Soni")</f>
        <v>Shri Vishal Soni</v>
      </c>
    </row>
    <row r="305" spans="1:8">
      <c r="A305" s="10">
        <f ca="1">IFERROR(__xludf.DUMMYFUNCTION("""COMPUTED_VALUE"""),59)</f>
        <v>59</v>
      </c>
      <c r="B305" s="10" t="str">
        <f ca="1">IFERROR(__xludf.DUMMYFUNCTION("""COMPUTED_VALUE"""),"Mandsaur")</f>
        <v>Mandsaur</v>
      </c>
      <c r="C305" s="10" t="str">
        <f ca="1">IFERROR(__xludf.DUMMYFUNCTION("""COMPUTED_VALUE"""),"MANDSAUR SPORTS")</f>
        <v>MANDSAUR SPORTS</v>
      </c>
      <c r="D305" s="10">
        <f ca="1">IFERROR(__xludf.DUMMYFUNCTION("""COMPUTED_VALUE"""),1506393615)</f>
        <v>1506393615</v>
      </c>
      <c r="E305" s="12">
        <f ca="1">IFERROR(__xludf.DUMMYFUNCTION("""COMPUTED_VALUE"""),46244)</f>
        <v>46244</v>
      </c>
      <c r="F305" s="10"/>
      <c r="G305" s="10" t="str">
        <f ca="1">IFERROR(__xludf.DUMMYFUNCTION("""COMPUTED_VALUE"""),"B2C")</f>
        <v>B2C</v>
      </c>
      <c r="H305" s="10" t="str">
        <f ca="1">IFERROR(__xludf.DUMMYFUNCTION("""COMPUTED_VALUE"""),"Shri Vishal Soni")</f>
        <v>Shri Vishal Soni</v>
      </c>
    </row>
    <row r="306" spans="1:8">
      <c r="A306" s="10">
        <f ca="1">IFERROR(__xludf.DUMMYFUNCTION("""COMPUTED_VALUE"""),60)</f>
        <v>60</v>
      </c>
      <c r="B306" s="10" t="str">
        <f ca="1">IFERROR(__xludf.DUMMYFUNCTION("""COMPUTED_VALUE"""),"Mandsaur")</f>
        <v>Mandsaur</v>
      </c>
      <c r="C306" s="10" t="str">
        <f ca="1">IFERROR(__xludf.DUMMYFUNCTION("""COMPUTED_VALUE"""),"CASA DE AMOR")</f>
        <v>CASA DE AMOR</v>
      </c>
      <c r="D306" s="10">
        <f ca="1">IFERROR(__xludf.DUMMYFUNCTION("""COMPUTED_VALUE"""),3000051489)</f>
        <v>3000051489</v>
      </c>
      <c r="E306" s="12">
        <f ca="1">IFERROR(__xludf.DUMMYFUNCTION("""COMPUTED_VALUE"""),46244)</f>
        <v>46244</v>
      </c>
      <c r="F306" s="10"/>
      <c r="G306" s="10" t="str">
        <f ca="1">IFERROR(__xludf.DUMMYFUNCTION("""COMPUTED_VALUE"""),"B2C")</f>
        <v>B2C</v>
      </c>
      <c r="H306" s="10" t="str">
        <f ca="1">IFERROR(__xludf.DUMMYFUNCTION("""COMPUTED_VALUE"""),"Shri Vishal Soni")</f>
        <v>Shri Vishal Soni</v>
      </c>
    </row>
    <row r="307" spans="1:8">
      <c r="A307" s="10">
        <f ca="1">IFERROR(__xludf.DUMMYFUNCTION("""COMPUTED_VALUE"""),61)</f>
        <v>61</v>
      </c>
      <c r="B307" s="10" t="str">
        <f ca="1">IFERROR(__xludf.DUMMYFUNCTION("""COMPUTED_VALUE"""),"Mandsaur")</f>
        <v>Mandsaur</v>
      </c>
      <c r="C307" s="10" t="str">
        <f ca="1">IFERROR(__xludf.DUMMYFUNCTION("""COMPUTED_VALUE"""),"RD NATURAL STONES")</f>
        <v>RD NATURAL STONES</v>
      </c>
      <c r="D307" s="10">
        <f ca="1">IFERROR(__xludf.DUMMYFUNCTION("""COMPUTED_VALUE"""),1561444461)</f>
        <v>1561444461</v>
      </c>
      <c r="E307" s="12">
        <f ca="1">IFERROR(__xludf.DUMMYFUNCTION("""COMPUTED_VALUE"""),46244)</f>
        <v>46244</v>
      </c>
      <c r="F307" s="10"/>
      <c r="G307" s="10" t="str">
        <f ca="1">IFERROR(__xludf.DUMMYFUNCTION("""COMPUTED_VALUE"""),"B2C")</f>
        <v>B2C</v>
      </c>
      <c r="H307" s="10" t="str">
        <f ca="1">IFERROR(__xludf.DUMMYFUNCTION("""COMPUTED_VALUE"""),"Shri Vishal Soni")</f>
        <v>Shri Vishal Soni</v>
      </c>
    </row>
    <row r="308" spans="1:8">
      <c r="A308" s="10">
        <f ca="1">IFERROR(__xludf.DUMMYFUNCTION("""COMPUTED_VALUE"""),62)</f>
        <v>62</v>
      </c>
      <c r="B308" s="10" t="str">
        <f ca="1">IFERROR(__xludf.DUMMYFUNCTION("""COMPUTED_VALUE"""),"Mandsaur")</f>
        <v>Mandsaur</v>
      </c>
      <c r="C308" s="10" t="str">
        <f ca="1">IFERROR(__xludf.DUMMYFUNCTION("""COMPUTED_VALUE"""),"LAYER 3 ACADEMY")</f>
        <v>LAYER 3 ACADEMY</v>
      </c>
      <c r="D308" s="10">
        <f ca="1">IFERROR(__xludf.DUMMYFUNCTION("""COMPUTED_VALUE"""),1846334621)</f>
        <v>1846334621</v>
      </c>
      <c r="E308" s="12">
        <f ca="1">IFERROR(__xludf.DUMMYFUNCTION("""COMPUTED_VALUE"""),46244)</f>
        <v>46244</v>
      </c>
      <c r="F308" s="10"/>
      <c r="G308" s="10" t="str">
        <f ca="1">IFERROR(__xludf.DUMMYFUNCTION("""COMPUTED_VALUE"""),"B2C")</f>
        <v>B2C</v>
      </c>
      <c r="H308" s="10" t="str">
        <f ca="1">IFERROR(__xludf.DUMMYFUNCTION("""COMPUTED_VALUE"""),"Shri Vishal Soni")</f>
        <v>Shri Vishal Soni</v>
      </c>
    </row>
    <row r="309" spans="1:8">
      <c r="A309" s="10">
        <f ca="1">IFERROR(__xludf.DUMMYFUNCTION("""COMPUTED_VALUE"""),63)</f>
        <v>63</v>
      </c>
      <c r="B309" s="10" t="str">
        <f ca="1">IFERROR(__xludf.DUMMYFUNCTION("""COMPUTED_VALUE"""),"Mandsaur")</f>
        <v>Mandsaur</v>
      </c>
      <c r="C309" s="10" t="str">
        <f ca="1">IFERROR(__xludf.DUMMYFUNCTION("""COMPUTED_VALUE"""),"MS MINERALS AND FOODS")</f>
        <v>MS MINERALS AND FOODS</v>
      </c>
      <c r="D309" s="10">
        <f ca="1">IFERROR(__xludf.DUMMYFUNCTION("""COMPUTED_VALUE"""),1953240025)</f>
        <v>1953240025</v>
      </c>
      <c r="E309" s="12">
        <f ca="1">IFERROR(__xludf.DUMMYFUNCTION("""COMPUTED_VALUE"""),46244)</f>
        <v>46244</v>
      </c>
      <c r="F309" s="10"/>
      <c r="G309" s="10" t="str">
        <f ca="1">IFERROR(__xludf.DUMMYFUNCTION("""COMPUTED_VALUE"""),"B2C")</f>
        <v>B2C</v>
      </c>
      <c r="H309" s="10" t="str">
        <f ca="1">IFERROR(__xludf.DUMMYFUNCTION("""COMPUTED_VALUE"""),"Shri Vishal Soni")</f>
        <v>Shri Vishal Soni</v>
      </c>
    </row>
    <row r="310" spans="1:8">
      <c r="A310" s="10">
        <f ca="1">IFERROR(__xludf.DUMMYFUNCTION("""COMPUTED_VALUE"""),64)</f>
        <v>64</v>
      </c>
      <c r="B310" s="10" t="str">
        <f ca="1">IFERROR(__xludf.DUMMYFUNCTION("""COMPUTED_VALUE"""),"Mandsaur")</f>
        <v>Mandsaur</v>
      </c>
      <c r="C310" s="10" t="str">
        <f ca="1">IFERROR(__xludf.DUMMYFUNCTION("""COMPUTED_VALUE"""),"Ajeet kothari herbs company")</f>
        <v>Ajeet kothari herbs company</v>
      </c>
      <c r="D310" s="10">
        <f ca="1">IFERROR(__xludf.DUMMYFUNCTION("""COMPUTED_VALUE"""),1275179065)</f>
        <v>1275179065</v>
      </c>
      <c r="E310" s="12">
        <f ca="1">IFERROR(__xludf.DUMMYFUNCTION("""COMPUTED_VALUE"""),46261)</f>
        <v>46261</v>
      </c>
      <c r="F310" s="10"/>
      <c r="G310" s="10" t="str">
        <f ca="1">IFERROR(__xludf.DUMMYFUNCTION("""COMPUTED_VALUE"""),"B2C")</f>
        <v>B2C</v>
      </c>
      <c r="H310" s="10" t="str">
        <f ca="1">IFERROR(__xludf.DUMMYFUNCTION("""COMPUTED_VALUE"""),"Shri Yash Mittal")</f>
        <v>Shri Yash Mittal</v>
      </c>
    </row>
    <row r="311" spans="1:8">
      <c r="A311" s="10">
        <f ca="1">IFERROR(__xludf.DUMMYFUNCTION("""COMPUTED_VALUE"""),65)</f>
        <v>65</v>
      </c>
      <c r="B311" s="10" t="str">
        <f ca="1">IFERROR(__xludf.DUMMYFUNCTION("""COMPUTED_VALUE"""),"Mandsaur")</f>
        <v>Mandsaur</v>
      </c>
      <c r="C311" s="10" t="str">
        <f ca="1">IFERROR(__xludf.DUMMYFUNCTION("""COMPUTED_VALUE"""),"GANDHI JAIN KARYALAY")</f>
        <v>GANDHI JAIN KARYALAY</v>
      </c>
      <c r="D311" s="10">
        <f ca="1">IFERROR(__xludf.DUMMYFUNCTION("""COMPUTED_VALUE"""),1714472560)</f>
        <v>1714472560</v>
      </c>
      <c r="E311" s="12">
        <f ca="1">IFERROR(__xludf.DUMMYFUNCTION("""COMPUTED_VALUE"""),46244)</f>
        <v>46244</v>
      </c>
      <c r="F311" s="10"/>
      <c r="G311" s="10" t="str">
        <f ca="1">IFERROR(__xludf.DUMMYFUNCTION("""COMPUTED_VALUE"""),"B2C")</f>
        <v>B2C</v>
      </c>
      <c r="H311" s="10" t="str">
        <f ca="1">IFERROR(__xludf.DUMMYFUNCTION("""COMPUTED_VALUE"""),"Shri Vishal Soni")</f>
        <v>Shri Vishal Soni</v>
      </c>
    </row>
    <row r="312" spans="1:8">
      <c r="A312" s="10">
        <f ca="1">IFERROR(__xludf.DUMMYFUNCTION("""COMPUTED_VALUE"""),66)</f>
        <v>66</v>
      </c>
      <c r="B312" s="10" t="str">
        <f ca="1">IFERROR(__xludf.DUMMYFUNCTION("""COMPUTED_VALUE"""),"Mandsaur")</f>
        <v>Mandsaur</v>
      </c>
      <c r="C312" s="10" t="str">
        <f ca="1">IFERROR(__xludf.DUMMYFUNCTION("""COMPUTED_VALUE"""),"KRSHAK EXPORTS")</f>
        <v>KRSHAK EXPORTS</v>
      </c>
      <c r="D312" s="10">
        <f ca="1">IFERROR(__xludf.DUMMYFUNCTION("""COMPUTED_VALUE"""),1481016928)</f>
        <v>1481016928</v>
      </c>
      <c r="E312" s="12">
        <f ca="1">IFERROR(__xludf.DUMMYFUNCTION("""COMPUTED_VALUE"""),46244)</f>
        <v>46244</v>
      </c>
      <c r="F312" s="10"/>
      <c r="G312" s="10" t="str">
        <f ca="1">IFERROR(__xludf.DUMMYFUNCTION("""COMPUTED_VALUE"""),"B2C")</f>
        <v>B2C</v>
      </c>
      <c r="H312" s="10" t="str">
        <f ca="1">IFERROR(__xludf.DUMMYFUNCTION("""COMPUTED_VALUE"""),"Shri Vishal Soni")</f>
        <v>Shri Vishal Soni</v>
      </c>
    </row>
    <row r="313" spans="1:8">
      <c r="A313" s="10">
        <f ca="1">IFERROR(__xludf.DUMMYFUNCTION("""COMPUTED_VALUE"""),67)</f>
        <v>67</v>
      </c>
      <c r="B313" s="10" t="str">
        <f ca="1">IFERROR(__xludf.DUMMYFUNCTION("""COMPUTED_VALUE"""),"Mandsaur")</f>
        <v>Mandsaur</v>
      </c>
      <c r="C313" s="10" t="str">
        <f ca="1">IFERROR(__xludf.DUMMYFUNCTION("""COMPUTED_VALUE"""),"AXIS BANK BHANPURA")</f>
        <v>AXIS BANK BHANPURA</v>
      </c>
      <c r="D313" s="10">
        <f ca="1">IFERROR(__xludf.DUMMYFUNCTION("""COMPUTED_VALUE"""),1871029020)</f>
        <v>1871029020</v>
      </c>
      <c r="E313" s="12">
        <f ca="1">IFERROR(__xludf.DUMMYFUNCTION("""COMPUTED_VALUE"""),46251)</f>
        <v>46251</v>
      </c>
      <c r="F313" s="10"/>
      <c r="G313" s="10" t="str">
        <f ca="1">IFERROR(__xludf.DUMMYFUNCTION("""COMPUTED_VALUE"""),"B2C")</f>
        <v>B2C</v>
      </c>
      <c r="H313" s="10" t="str">
        <f ca="1">IFERROR(__xludf.DUMMYFUNCTION("""COMPUTED_VALUE"""),"Shri Vishal Soni")</f>
        <v>Shri Vishal Soni</v>
      </c>
    </row>
    <row r="314" spans="1:8">
      <c r="A314" s="10">
        <f ca="1">IFERROR(__xludf.DUMMYFUNCTION("""COMPUTED_VALUE"""),68)</f>
        <v>68</v>
      </c>
      <c r="B314" s="10" t="str">
        <f ca="1">IFERROR(__xludf.DUMMYFUNCTION("""COMPUTED_VALUE"""),"Mandsaur")</f>
        <v>Mandsaur</v>
      </c>
      <c r="C314" s="10" t="str">
        <f ca="1">IFERROR(__xludf.DUMMYFUNCTION("""COMPUTED_VALUE"""),"PRAFULL BEEJ BHANDAR")</f>
        <v>PRAFULL BEEJ BHANDAR</v>
      </c>
      <c r="D314" s="10">
        <f ca="1">IFERROR(__xludf.DUMMYFUNCTION("""COMPUTED_VALUE"""),1891033245)</f>
        <v>1891033245</v>
      </c>
      <c r="E314" s="12">
        <f ca="1">IFERROR(__xludf.DUMMYFUNCTION("""COMPUTED_VALUE"""),46244)</f>
        <v>46244</v>
      </c>
      <c r="F314" s="10"/>
      <c r="G314" s="10" t="str">
        <f ca="1">IFERROR(__xludf.DUMMYFUNCTION("""COMPUTED_VALUE"""),"B2C")</f>
        <v>B2C</v>
      </c>
      <c r="H314" s="10" t="str">
        <f ca="1">IFERROR(__xludf.DUMMYFUNCTION("""COMPUTED_VALUE"""),"Shri Vishal Soni")</f>
        <v>Shri Vishal Soni</v>
      </c>
    </row>
    <row r="315" spans="1:8">
      <c r="A315" s="10">
        <f ca="1">IFERROR(__xludf.DUMMYFUNCTION("""COMPUTED_VALUE"""),69)</f>
        <v>69</v>
      </c>
      <c r="B315" s="10" t="str">
        <f ca="1">IFERROR(__xludf.DUMMYFUNCTION("""COMPUTED_VALUE"""),"Mandsaur")</f>
        <v>Mandsaur</v>
      </c>
      <c r="C315" s="10" t="str">
        <f ca="1">IFERROR(__xludf.DUMMYFUNCTION("""COMPUTED_VALUE"""),"TOSIF ENTERPRISES")</f>
        <v>TOSIF ENTERPRISES</v>
      </c>
      <c r="D315" s="10">
        <f ca="1">IFERROR(__xludf.DUMMYFUNCTION("""COMPUTED_VALUE"""),1106864670)</f>
        <v>1106864670</v>
      </c>
      <c r="E315" s="12">
        <f ca="1">IFERROR(__xludf.DUMMYFUNCTION("""COMPUTED_VALUE"""),46244)</f>
        <v>46244</v>
      </c>
      <c r="F315" s="10"/>
      <c r="G315" s="10" t="str">
        <f ca="1">IFERROR(__xludf.DUMMYFUNCTION("""COMPUTED_VALUE"""),"B2C")</f>
        <v>B2C</v>
      </c>
      <c r="H315" s="10" t="str">
        <f ca="1">IFERROR(__xludf.DUMMYFUNCTION("""COMPUTED_VALUE"""),"Shri Vishal Soni")</f>
        <v>Shri Vishal Soni</v>
      </c>
    </row>
    <row r="316" spans="1:8">
      <c r="A316" s="10">
        <f ca="1">IFERROR(__xludf.DUMMYFUNCTION("""COMPUTED_VALUE"""),70)</f>
        <v>70</v>
      </c>
      <c r="B316" s="10" t="str">
        <f ca="1">IFERROR(__xludf.DUMMYFUNCTION("""COMPUTED_VALUE"""),"Mandsaur")</f>
        <v>Mandsaur</v>
      </c>
      <c r="C316" s="10" t="str">
        <f ca="1">IFERROR(__xludf.DUMMYFUNCTION("""COMPUTED_VALUE"""),"Patidar agro")</f>
        <v>Patidar agro</v>
      </c>
      <c r="D316" s="10">
        <f ca="1">IFERROR(__xludf.DUMMYFUNCTION("""COMPUTED_VALUE"""),1932075104)</f>
        <v>1932075104</v>
      </c>
      <c r="E316" s="12">
        <f ca="1">IFERROR(__xludf.DUMMYFUNCTION("""COMPUTED_VALUE"""),46246)</f>
        <v>46246</v>
      </c>
      <c r="F316" s="10"/>
      <c r="G316" s="10" t="str">
        <f ca="1">IFERROR(__xludf.DUMMYFUNCTION("""COMPUTED_VALUE"""),"B2C")</f>
        <v>B2C</v>
      </c>
      <c r="H316" s="10" t="str">
        <f ca="1">IFERROR(__xludf.DUMMYFUNCTION("""COMPUTED_VALUE"""),"Shri Vishal Soni")</f>
        <v>Shri Vishal Soni</v>
      </c>
    </row>
    <row r="317" spans="1:8">
      <c r="A317" s="10">
        <f ca="1">IFERROR(__xludf.DUMMYFUNCTION("""COMPUTED_VALUE"""),71)</f>
        <v>71</v>
      </c>
      <c r="B317" s="10" t="str">
        <f ca="1">IFERROR(__xludf.DUMMYFUNCTION("""COMPUTED_VALUE"""),"Mandsaur")</f>
        <v>Mandsaur</v>
      </c>
      <c r="C317" s="10" t="str">
        <f ca="1">IFERROR(__xludf.DUMMYFUNCTION("""COMPUTED_VALUE"""),"GALAXY ELECTRIC AND ELECTRONICS")</f>
        <v>GALAXY ELECTRIC AND ELECTRONICS</v>
      </c>
      <c r="D317" s="10">
        <f ca="1">IFERROR(__xludf.DUMMYFUNCTION("""COMPUTED_VALUE"""),1987530685)</f>
        <v>1987530685</v>
      </c>
      <c r="E317" s="12">
        <f ca="1">IFERROR(__xludf.DUMMYFUNCTION("""COMPUTED_VALUE"""),46246)</f>
        <v>46246</v>
      </c>
      <c r="F317" s="10"/>
      <c r="G317" s="10" t="str">
        <f ca="1">IFERROR(__xludf.DUMMYFUNCTION("""COMPUTED_VALUE"""),"B2C")</f>
        <v>B2C</v>
      </c>
      <c r="H317" s="10" t="str">
        <f ca="1">IFERROR(__xludf.DUMMYFUNCTION("""COMPUTED_VALUE"""),"Shri Yash Mittal")</f>
        <v>Shri Yash Mittal</v>
      </c>
    </row>
    <row r="318" spans="1:8">
      <c r="A318" s="10">
        <f ca="1">IFERROR(__xludf.DUMMYFUNCTION("""COMPUTED_VALUE"""),72)</f>
        <v>72</v>
      </c>
      <c r="B318" s="10" t="str">
        <f ca="1">IFERROR(__xludf.DUMMYFUNCTION("""COMPUTED_VALUE"""),"Mandsaur")</f>
        <v>Mandsaur</v>
      </c>
      <c r="C318" s="10" t="str">
        <f ca="1">IFERROR(__xludf.DUMMYFUNCTION("""COMPUTED_VALUE"""),"RAJ BAG AND AARMI STORE")</f>
        <v>RAJ BAG AND AARMI STORE</v>
      </c>
      <c r="D318" s="10">
        <f ca="1">IFERROR(__xludf.DUMMYFUNCTION("""COMPUTED_VALUE"""),1530201710)</f>
        <v>1530201710</v>
      </c>
      <c r="E318" s="12">
        <f ca="1">IFERROR(__xludf.DUMMYFUNCTION("""COMPUTED_VALUE"""),46246)</f>
        <v>46246</v>
      </c>
      <c r="F318" s="10"/>
      <c r="G318" s="10" t="str">
        <f ca="1">IFERROR(__xludf.DUMMYFUNCTION("""COMPUTED_VALUE"""),"B2C")</f>
        <v>B2C</v>
      </c>
      <c r="H318" s="10" t="str">
        <f ca="1">IFERROR(__xludf.DUMMYFUNCTION("""COMPUTED_VALUE"""),"Shri Yash Mittal")</f>
        <v>Shri Yash Mittal</v>
      </c>
    </row>
    <row r="319" spans="1:8">
      <c r="A319" s="10">
        <f ca="1">IFERROR(__xludf.DUMMYFUNCTION("""COMPUTED_VALUE"""),73)</f>
        <v>73</v>
      </c>
      <c r="B319" s="10" t="str">
        <f ca="1">IFERROR(__xludf.DUMMYFUNCTION("""COMPUTED_VALUE"""),"Mandsaur")</f>
        <v>Mandsaur</v>
      </c>
      <c r="C319" s="10" t="str">
        <f ca="1">IFERROR(__xludf.DUMMYFUNCTION("""COMPUTED_VALUE"""),"Coin adda")</f>
        <v>Coin adda</v>
      </c>
      <c r="D319" s="10">
        <f ca="1">IFERROR(__xludf.DUMMYFUNCTION("""COMPUTED_VALUE"""),4002408168)</f>
        <v>4002408168</v>
      </c>
      <c r="E319" s="12">
        <f ca="1">IFERROR(__xludf.DUMMYFUNCTION("""COMPUTED_VALUE"""),46251)</f>
        <v>46251</v>
      </c>
      <c r="F319" s="10"/>
      <c r="G319" s="10" t="str">
        <f ca="1">IFERROR(__xludf.DUMMYFUNCTION("""COMPUTED_VALUE"""),"B2C")</f>
        <v>B2C</v>
      </c>
      <c r="H319" s="10" t="str">
        <f ca="1">IFERROR(__xludf.DUMMYFUNCTION("""COMPUTED_VALUE"""),"Shri Yash Mittal")</f>
        <v>Shri Yash Mittal</v>
      </c>
    </row>
    <row r="320" spans="1:8">
      <c r="A320" s="10">
        <f ca="1">IFERROR(__xludf.DUMMYFUNCTION("""COMPUTED_VALUE"""),74)</f>
        <v>74</v>
      </c>
      <c r="B320" s="10" t="str">
        <f ca="1">IFERROR(__xludf.DUMMYFUNCTION("""COMPUTED_VALUE"""),"Mandsaur")</f>
        <v>Mandsaur</v>
      </c>
      <c r="C320" s="10" t="str">
        <f ca="1">IFERROR(__xludf.DUMMYFUNCTION("""COMPUTED_VALUE"""),"ADINATH TRADING COMPANY")</f>
        <v>ADINATH TRADING COMPANY</v>
      </c>
      <c r="D320" s="10">
        <f ca="1">IFERROR(__xludf.DUMMYFUNCTION("""COMPUTED_VALUE"""),1375356801)</f>
        <v>1375356801</v>
      </c>
      <c r="E320" s="12">
        <f ca="1">IFERROR(__xludf.DUMMYFUNCTION("""COMPUTED_VALUE"""),46251)</f>
        <v>46251</v>
      </c>
      <c r="F320" s="10"/>
      <c r="G320" s="10" t="str">
        <f ca="1">IFERROR(__xludf.DUMMYFUNCTION("""COMPUTED_VALUE"""),"B2C")</f>
        <v>B2C</v>
      </c>
      <c r="H320" s="10" t="str">
        <f ca="1">IFERROR(__xludf.DUMMYFUNCTION("""COMPUTED_VALUE"""),"Shri Yash Mittal")</f>
        <v>Shri Yash Mittal</v>
      </c>
    </row>
    <row r="321" spans="1:8">
      <c r="A321" s="10">
        <f ca="1">IFERROR(__xludf.DUMMYFUNCTION("""COMPUTED_VALUE"""),75)</f>
        <v>75</v>
      </c>
      <c r="B321" s="10" t="str">
        <f ca="1">IFERROR(__xludf.DUMMYFUNCTION("""COMPUTED_VALUE"""),"Mandsaur")</f>
        <v>Mandsaur</v>
      </c>
      <c r="C321" s="10" t="str">
        <f ca="1">IFERROR(__xludf.DUMMYFUNCTION("""COMPUTED_VALUE"""),"SATYA SHREE FASHION")</f>
        <v>SATYA SHREE FASHION</v>
      </c>
      <c r="D321" s="10">
        <f ca="1">IFERROR(__xludf.DUMMYFUNCTION("""COMPUTED_VALUE"""),1837749620)</f>
        <v>1837749620</v>
      </c>
      <c r="E321" s="12">
        <f ca="1">IFERROR(__xludf.DUMMYFUNCTION("""COMPUTED_VALUE"""),46251)</f>
        <v>46251</v>
      </c>
      <c r="F321" s="10"/>
      <c r="G321" s="10" t="str">
        <f ca="1">IFERROR(__xludf.DUMMYFUNCTION("""COMPUTED_VALUE"""),"B2C")</f>
        <v>B2C</v>
      </c>
      <c r="H321" s="10" t="str">
        <f ca="1">IFERROR(__xludf.DUMMYFUNCTION("""COMPUTED_VALUE"""),"Shri Vishal Soni")</f>
        <v>Shri Vishal Soni</v>
      </c>
    </row>
    <row r="322" spans="1:8">
      <c r="A322" s="10">
        <f ca="1">IFERROR(__xludf.DUMMYFUNCTION("""COMPUTED_VALUE"""),76)</f>
        <v>76</v>
      </c>
      <c r="B322" s="10" t="str">
        <f ca="1">IFERROR(__xludf.DUMMYFUNCTION("""COMPUTED_VALUE"""),"Mandsaur")</f>
        <v>Mandsaur</v>
      </c>
      <c r="C322" s="10" t="str">
        <f ca="1">IFERROR(__xludf.DUMMYFUNCTION("""COMPUTED_VALUE"""),"Shri bhadavamata prakashan")</f>
        <v>Shri bhadavamata prakashan</v>
      </c>
      <c r="D322" s="10">
        <f ca="1">IFERROR(__xludf.DUMMYFUNCTION("""COMPUTED_VALUE"""),1527936763)</f>
        <v>1527936763</v>
      </c>
      <c r="E322" s="12">
        <f ca="1">IFERROR(__xludf.DUMMYFUNCTION("""COMPUTED_VALUE"""),46251)</f>
        <v>46251</v>
      </c>
      <c r="F322" s="10"/>
      <c r="G322" s="10" t="str">
        <f ca="1">IFERROR(__xludf.DUMMYFUNCTION("""COMPUTED_VALUE"""),"B2C")</f>
        <v>B2C</v>
      </c>
      <c r="H322" s="10" t="str">
        <f ca="1">IFERROR(__xludf.DUMMYFUNCTION("""COMPUTED_VALUE"""),"Shri Yash Mittal")</f>
        <v>Shri Yash Mittal</v>
      </c>
    </row>
    <row r="323" spans="1:8">
      <c r="A323" s="10">
        <f ca="1">IFERROR(__xludf.DUMMYFUNCTION("""COMPUTED_VALUE"""),77)</f>
        <v>77</v>
      </c>
      <c r="B323" s="10" t="str">
        <f ca="1">IFERROR(__xludf.DUMMYFUNCTION("""COMPUTED_VALUE"""),"Mandsaur")</f>
        <v>Mandsaur</v>
      </c>
      <c r="C323" s="10" t="str">
        <f ca="1">IFERROR(__xludf.DUMMYFUNCTION("""COMPUTED_VALUE"""),"Safal herbal ayurveda")</f>
        <v>Safal herbal ayurveda</v>
      </c>
      <c r="D323" s="10">
        <f ca="1">IFERROR(__xludf.DUMMYFUNCTION("""COMPUTED_VALUE"""),1808000897)</f>
        <v>1808000897</v>
      </c>
      <c r="E323" s="12">
        <f ca="1">IFERROR(__xludf.DUMMYFUNCTION("""COMPUTED_VALUE"""),46261)</f>
        <v>46261</v>
      </c>
      <c r="F323" s="10"/>
      <c r="G323" s="10" t="str">
        <f ca="1">IFERROR(__xludf.DUMMYFUNCTION("""COMPUTED_VALUE"""),"B2C")</f>
        <v>B2C</v>
      </c>
      <c r="H323" s="10" t="str">
        <f ca="1">IFERROR(__xludf.DUMMYFUNCTION("""COMPUTED_VALUE"""),"Shri Yash Mittal")</f>
        <v>Shri Yash Mittal</v>
      </c>
    </row>
    <row r="324" spans="1:8">
      <c r="A324" s="10">
        <f ca="1">IFERROR(__xludf.DUMMYFUNCTION("""COMPUTED_VALUE"""),78)</f>
        <v>78</v>
      </c>
      <c r="B324" s="10" t="str">
        <f ca="1">IFERROR(__xludf.DUMMYFUNCTION("""COMPUTED_VALUE"""),"Mandsaur")</f>
        <v>Mandsaur</v>
      </c>
      <c r="C324" s="10" t="str">
        <f ca="1">IFERROR(__xludf.DUMMYFUNCTION("""COMPUTED_VALUE"""),"Krishna dudh dairy and kirana")</f>
        <v>Krishna dudh dairy and kirana</v>
      </c>
      <c r="D324" s="10">
        <f ca="1">IFERROR(__xludf.DUMMYFUNCTION("""COMPUTED_VALUE"""),1141147257)</f>
        <v>1141147257</v>
      </c>
      <c r="E324" s="12">
        <f ca="1">IFERROR(__xludf.DUMMYFUNCTION("""COMPUTED_VALUE"""),46261)</f>
        <v>46261</v>
      </c>
      <c r="F324" s="10"/>
      <c r="G324" s="10" t="str">
        <f ca="1">IFERROR(__xludf.DUMMYFUNCTION("""COMPUTED_VALUE"""),"B2C")</f>
        <v>B2C</v>
      </c>
      <c r="H324" s="10" t="str">
        <f ca="1">IFERROR(__xludf.DUMMYFUNCTION("""COMPUTED_VALUE"""),"Shri Yash Mittal")</f>
        <v>Shri Yash Mittal</v>
      </c>
    </row>
    <row r="325" spans="1:8">
      <c r="A325" s="10">
        <f ca="1">IFERROR(__xludf.DUMMYFUNCTION("""COMPUTED_VALUE"""),79)</f>
        <v>79</v>
      </c>
      <c r="B325" s="10" t="str">
        <f ca="1">IFERROR(__xludf.DUMMYFUNCTION("""COMPUTED_VALUE"""),"Mandsaur")</f>
        <v>Mandsaur</v>
      </c>
      <c r="C325" s="10" t="str">
        <f ca="1">IFERROR(__xludf.DUMMYFUNCTION("""COMPUTED_VALUE"""),"TIARA RIDAS")</f>
        <v>TIARA RIDAS</v>
      </c>
      <c r="D325" s="10">
        <f ca="1">IFERROR(__xludf.DUMMYFUNCTION("""COMPUTED_VALUE"""),1938569091)</f>
        <v>1938569091</v>
      </c>
      <c r="E325" s="12">
        <f ca="1">IFERROR(__xludf.DUMMYFUNCTION("""COMPUTED_VALUE"""),46261)</f>
        <v>46261</v>
      </c>
      <c r="F325" s="10"/>
      <c r="G325" s="10" t="str">
        <f ca="1">IFERROR(__xludf.DUMMYFUNCTION("""COMPUTED_VALUE"""),"B2C")</f>
        <v>B2C</v>
      </c>
      <c r="H325" s="10" t="str">
        <f ca="1">IFERROR(__xludf.DUMMYFUNCTION("""COMPUTED_VALUE"""),"Shri Yash Mittal")</f>
        <v>Shri Yash Mittal</v>
      </c>
    </row>
    <row r="326" spans="1:8">
      <c r="A326" s="10">
        <f ca="1">IFERROR(__xludf.DUMMYFUNCTION("""COMPUTED_VALUE"""),80)</f>
        <v>80</v>
      </c>
      <c r="B326" s="10" t="str">
        <f ca="1">IFERROR(__xludf.DUMMYFUNCTION("""COMPUTED_VALUE"""),"Mandsaur")</f>
        <v>Mandsaur</v>
      </c>
      <c r="C326" s="10" t="str">
        <f ca="1">IFERROR(__xludf.DUMMYFUNCTION("""COMPUTED_VALUE"""),"Shivalaya graphics")</f>
        <v>Shivalaya graphics</v>
      </c>
      <c r="D326" s="10">
        <f ca="1">IFERROR(__xludf.DUMMYFUNCTION("""COMPUTED_VALUE"""),1726333263)</f>
        <v>1726333263</v>
      </c>
      <c r="E326" s="12">
        <f ca="1">IFERROR(__xludf.DUMMYFUNCTION("""COMPUTED_VALUE"""),46261)</f>
        <v>46261</v>
      </c>
      <c r="F326" s="10"/>
      <c r="G326" s="10" t="str">
        <f ca="1">IFERROR(__xludf.DUMMYFUNCTION("""COMPUTED_VALUE"""),"B2C")</f>
        <v>B2C</v>
      </c>
      <c r="H326" s="10" t="str">
        <f ca="1">IFERROR(__xludf.DUMMYFUNCTION("""COMPUTED_VALUE"""),"Shri Yash Mittal")</f>
        <v>Shri Yash Mittal</v>
      </c>
    </row>
    <row r="327" spans="1:8">
      <c r="A327" s="10">
        <f ca="1">IFERROR(__xludf.DUMMYFUNCTION("""COMPUTED_VALUE"""),81)</f>
        <v>81</v>
      </c>
      <c r="B327" s="10" t="str">
        <f ca="1">IFERROR(__xludf.DUMMYFUNCTION("""COMPUTED_VALUE"""),"Mandsaur")</f>
        <v>Mandsaur</v>
      </c>
      <c r="C327" s="10" t="str">
        <f ca="1">IFERROR(__xludf.DUMMYFUNCTION("""COMPUTED_VALUE"""),"Parag Fragrances")</f>
        <v>Parag Fragrances</v>
      </c>
      <c r="D327" s="10">
        <f ca="1">IFERROR(__xludf.DUMMYFUNCTION("""COMPUTED_VALUE"""),1285748851)</f>
        <v>1285748851</v>
      </c>
      <c r="E327" s="12">
        <f ca="1">IFERROR(__xludf.DUMMYFUNCTION("""COMPUTED_VALUE"""),46261)</f>
        <v>46261</v>
      </c>
      <c r="F327" s="10"/>
      <c r="G327" s="10" t="str">
        <f ca="1">IFERROR(__xludf.DUMMYFUNCTION("""COMPUTED_VALUE"""),"B2C")</f>
        <v>B2C</v>
      </c>
      <c r="H327" s="10" t="str">
        <f ca="1">IFERROR(__xludf.DUMMYFUNCTION("""COMPUTED_VALUE"""),"Shri Vishal Soni")</f>
        <v>Shri Vishal Soni</v>
      </c>
    </row>
    <row r="328" spans="1:8">
      <c r="A328" s="10">
        <f ca="1">IFERROR(__xludf.DUMMYFUNCTION("""COMPUTED_VALUE"""),82)</f>
        <v>82</v>
      </c>
      <c r="B328" s="10" t="str">
        <f ca="1">IFERROR(__xludf.DUMMYFUNCTION("""COMPUTED_VALUE"""),"Mandsaur")</f>
        <v>Mandsaur</v>
      </c>
      <c r="C328" s="10" t="str">
        <f ca="1">IFERROR(__xludf.DUMMYFUNCTION("""COMPUTED_VALUE"""),"Pawan Banga")</f>
        <v>Pawan Banga</v>
      </c>
      <c r="D328" s="10">
        <f ca="1">IFERROR(__xludf.DUMMYFUNCTION("""COMPUTED_VALUE"""),1990394117)</f>
        <v>1990394117</v>
      </c>
      <c r="E328" s="12">
        <f ca="1">IFERROR(__xludf.DUMMYFUNCTION("""COMPUTED_VALUE"""),46261)</f>
        <v>46261</v>
      </c>
      <c r="F328" s="10"/>
      <c r="G328" s="10" t="str">
        <f ca="1">IFERROR(__xludf.DUMMYFUNCTION("""COMPUTED_VALUE"""),"B2C")</f>
        <v>B2C</v>
      </c>
      <c r="H328" s="10" t="str">
        <f ca="1">IFERROR(__xludf.DUMMYFUNCTION("""COMPUTED_VALUE"""),"Shri Vishal Soni")</f>
        <v>Shri Vishal Soni</v>
      </c>
    </row>
    <row r="329" spans="1:8">
      <c r="A329" s="10">
        <f ca="1">IFERROR(__xludf.DUMMYFUNCTION("""COMPUTED_VALUE"""),83)</f>
        <v>83</v>
      </c>
      <c r="B329" s="10" t="str">
        <f ca="1">IFERROR(__xludf.DUMMYFUNCTION("""COMPUTED_VALUE"""),"Mandsaur")</f>
        <v>Mandsaur</v>
      </c>
      <c r="C329" s="10" t="str">
        <f ca="1">IFERROR(__xludf.DUMMYFUNCTION("""COMPUTED_VALUE"""),"Ajay Kumar Sharma")</f>
        <v>Ajay Kumar Sharma</v>
      </c>
      <c r="D329" s="10">
        <f ca="1">IFERROR(__xludf.DUMMYFUNCTION("""COMPUTED_VALUE"""),1737733673)</f>
        <v>1737733673</v>
      </c>
      <c r="E329" s="12">
        <f ca="1">IFERROR(__xludf.DUMMYFUNCTION("""COMPUTED_VALUE"""),46261)</f>
        <v>46261</v>
      </c>
      <c r="F329" s="10"/>
      <c r="G329" s="10" t="str">
        <f ca="1">IFERROR(__xludf.DUMMYFUNCTION("""COMPUTED_VALUE"""),"B2C")</f>
        <v>B2C</v>
      </c>
      <c r="H329" s="10" t="str">
        <f ca="1">IFERROR(__xludf.DUMMYFUNCTION("""COMPUTED_VALUE"""),"Shri Yash Mittal")</f>
        <v>Shri Yash Mittal</v>
      </c>
    </row>
    <row r="330" spans="1:8">
      <c r="A330" s="10">
        <f ca="1">IFERROR(__xludf.DUMMYFUNCTION("""COMPUTED_VALUE"""),84)</f>
        <v>84</v>
      </c>
      <c r="B330" s="10" t="str">
        <f ca="1">IFERROR(__xludf.DUMMYFUNCTION("""COMPUTED_VALUE"""),"Mandsaur")</f>
        <v>Mandsaur</v>
      </c>
      <c r="C330" s="10" t="str">
        <f ca="1">IFERROR(__xludf.DUMMYFUNCTION("""COMPUTED_VALUE"""),"Babji Trading")</f>
        <v>Babji Trading</v>
      </c>
      <c r="D330" s="10">
        <f ca="1">IFERROR(__xludf.DUMMYFUNCTION("""COMPUTED_VALUE"""),1668644900)</f>
        <v>1668644900</v>
      </c>
      <c r="E330" s="12">
        <f ca="1">IFERROR(__xludf.DUMMYFUNCTION("""COMPUTED_VALUE"""),46266)</f>
        <v>46266</v>
      </c>
      <c r="F330" s="10"/>
      <c r="G330" s="10" t="str">
        <f ca="1">IFERROR(__xludf.DUMMYFUNCTION("""COMPUTED_VALUE"""),"B2C")</f>
        <v>B2C</v>
      </c>
      <c r="H330" s="10"/>
    </row>
    <row r="331" spans="1:8">
      <c r="A331" s="10">
        <f ca="1">IFERROR(__xludf.DUMMYFUNCTION("""COMPUTED_VALUE"""),85)</f>
        <v>85</v>
      </c>
      <c r="B331" s="10" t="str">
        <f ca="1">IFERROR(__xludf.DUMMYFUNCTION("""COMPUTED_VALUE"""),"Mandsaur")</f>
        <v>Mandsaur</v>
      </c>
      <c r="C331" s="10" t="str">
        <f ca="1">IFERROR(__xludf.DUMMYFUNCTION("""COMPUTED_VALUE"""),"Siya Herbal Product")</f>
        <v>Siya Herbal Product</v>
      </c>
      <c r="D331" s="10">
        <f ca="1">IFERROR(__xludf.DUMMYFUNCTION("""COMPUTED_VALUE"""),1186673833)</f>
        <v>1186673833</v>
      </c>
      <c r="E331" s="12">
        <f ca="1">IFERROR(__xludf.DUMMYFUNCTION("""COMPUTED_VALUE"""),46266)</f>
        <v>46266</v>
      </c>
      <c r="F331" s="10"/>
      <c r="G331" s="10" t="str">
        <f ca="1">IFERROR(__xludf.DUMMYFUNCTION("""COMPUTED_VALUE"""),"B2C")</f>
        <v>B2C</v>
      </c>
      <c r="H331" s="10"/>
    </row>
    <row r="332" spans="1:8">
      <c r="A332" s="10">
        <f ca="1">IFERROR(__xludf.DUMMYFUNCTION("""COMPUTED_VALUE"""),86)</f>
        <v>86</v>
      </c>
      <c r="B332" s="10" t="str">
        <f ca="1">IFERROR(__xludf.DUMMYFUNCTION("""COMPUTED_VALUE"""),"Mandsaur")</f>
        <v>Mandsaur</v>
      </c>
      <c r="C332" s="10" t="str">
        <f ca="1">IFERROR(__xludf.DUMMYFUNCTION("""COMPUTED_VALUE"""),"BHAGIRATH ORGANICS")</f>
        <v>BHAGIRATH ORGANICS</v>
      </c>
      <c r="D332" s="10">
        <f ca="1">IFERROR(__xludf.DUMMYFUNCTION("""COMPUTED_VALUE"""),1273897653)</f>
        <v>1273897653</v>
      </c>
      <c r="E332" s="12">
        <f ca="1">IFERROR(__xludf.DUMMYFUNCTION("""COMPUTED_VALUE"""),46266)</f>
        <v>46266</v>
      </c>
      <c r="F332" s="10"/>
      <c r="G332" s="10" t="str">
        <f ca="1">IFERROR(__xludf.DUMMYFUNCTION("""COMPUTED_VALUE"""),"B2C")</f>
        <v>B2C</v>
      </c>
      <c r="H332" s="10"/>
    </row>
    <row r="333" spans="1:8">
      <c r="A333" s="10">
        <f ca="1">IFERROR(__xludf.DUMMYFUNCTION("""COMPUTED_VALUE"""),87)</f>
        <v>87</v>
      </c>
      <c r="B333" s="10" t="str">
        <f ca="1">IFERROR(__xludf.DUMMYFUNCTION("""COMPUTED_VALUE"""),"Mandsaur")</f>
        <v>Mandsaur</v>
      </c>
      <c r="C333" s="10" t="str">
        <f ca="1">IFERROR(__xludf.DUMMYFUNCTION("""COMPUTED_VALUE"""),"matchline electronics")</f>
        <v>matchline electronics</v>
      </c>
      <c r="D333" s="10">
        <f ca="1">IFERROR(__xludf.DUMMYFUNCTION("""COMPUTED_VALUE"""),1128097368)</f>
        <v>1128097368</v>
      </c>
      <c r="E333" s="12">
        <f ca="1">IFERROR(__xludf.DUMMYFUNCTION("""COMPUTED_VALUE"""),46266)</f>
        <v>46266</v>
      </c>
      <c r="F333" s="10"/>
      <c r="G333" s="10" t="str">
        <f ca="1">IFERROR(__xludf.DUMMYFUNCTION("""COMPUTED_VALUE"""),"B2C")</f>
        <v>B2C</v>
      </c>
      <c r="H333" s="10"/>
    </row>
    <row r="334" spans="1:8">
      <c r="A334" s="10">
        <f ca="1">IFERROR(__xludf.DUMMYFUNCTION("""COMPUTED_VALUE"""),88)</f>
        <v>88</v>
      </c>
      <c r="B334" s="10" t="str">
        <f ca="1">IFERROR(__xludf.DUMMYFUNCTION("""COMPUTED_VALUE"""),"Mandsaur")</f>
        <v>Mandsaur</v>
      </c>
      <c r="C334" s="10" t="str">
        <f ca="1">IFERROR(__xludf.DUMMYFUNCTION("""COMPUTED_VALUE"""),"Sealwell Neemuch")</f>
        <v>Sealwell Neemuch</v>
      </c>
      <c r="D334" s="10">
        <f ca="1">IFERROR(__xludf.DUMMYFUNCTION("""COMPUTED_VALUE"""),1176831301)</f>
        <v>1176831301</v>
      </c>
      <c r="E334" s="12">
        <f ca="1">IFERROR(__xludf.DUMMYFUNCTION("""COMPUTED_VALUE"""),46267)</f>
        <v>46267</v>
      </c>
      <c r="F334" s="10"/>
      <c r="G334" s="10" t="str">
        <f ca="1">IFERROR(__xludf.DUMMYFUNCTION("""COMPUTED_VALUE"""),"B2C")</f>
        <v>B2C</v>
      </c>
      <c r="H334" s="10"/>
    </row>
    <row r="335" spans="1:8">
      <c r="A335" s="10">
        <f ca="1">IFERROR(__xludf.DUMMYFUNCTION("""COMPUTED_VALUE"""),89)</f>
        <v>89</v>
      </c>
      <c r="B335" s="10" t="str">
        <f ca="1">IFERROR(__xludf.DUMMYFUNCTION("""COMPUTED_VALUE"""),"Mandsaur")</f>
        <v>Mandsaur</v>
      </c>
      <c r="C335" s="10" t="str">
        <f ca="1">IFERROR(__xludf.DUMMYFUNCTION("""COMPUTED_VALUE"""),"Pm shri kendriya vidyalaya crpf Neemuch")</f>
        <v>Pm shri kendriya vidyalaya crpf Neemuch</v>
      </c>
      <c r="D335" s="10">
        <f ca="1">IFERROR(__xludf.DUMMYFUNCTION("""COMPUTED_VALUE"""),1109730268)</f>
        <v>1109730268</v>
      </c>
      <c r="E335" s="12">
        <f ca="1">IFERROR(__xludf.DUMMYFUNCTION("""COMPUTED_VALUE"""),46268)</f>
        <v>46268</v>
      </c>
      <c r="F335" s="10"/>
      <c r="G335" s="10" t="str">
        <f ca="1">IFERROR(__xludf.DUMMYFUNCTION("""COMPUTED_VALUE"""),"B2C")</f>
        <v>B2C</v>
      </c>
      <c r="H335" s="10" t="str">
        <f ca="1">IFERROR(__xludf.DUMMYFUNCTION("""COMPUTED_VALUE"""),"Shri Yash Mittal")</f>
        <v>Shri Yash Mittal</v>
      </c>
    </row>
    <row r="336" spans="1:8">
      <c r="A336" s="10">
        <f ca="1">IFERROR(__xludf.DUMMYFUNCTION("""COMPUTED_VALUE"""),90)</f>
        <v>90</v>
      </c>
      <c r="B336" s="10" t="str">
        <f ca="1">IFERROR(__xludf.DUMMYFUNCTION("""COMPUTED_VALUE"""),"Mandsaur")</f>
        <v>Mandsaur</v>
      </c>
      <c r="C336" s="10" t="str">
        <f ca="1">IFERROR(__xludf.DUMMYFUNCTION("""COMPUTED_VALUE"""),"POEMS")</f>
        <v>POEMS</v>
      </c>
      <c r="D336" s="10">
        <f ca="1">IFERROR(__xludf.DUMMYFUNCTION("""COMPUTED_VALUE"""),1796374199)</f>
        <v>1796374199</v>
      </c>
      <c r="E336" s="12">
        <f ca="1">IFERROR(__xludf.DUMMYFUNCTION("""COMPUTED_VALUE"""),46276)</f>
        <v>46276</v>
      </c>
      <c r="F336" s="10"/>
      <c r="G336" s="10" t="str">
        <f ca="1">IFERROR(__xludf.DUMMYFUNCTION("""COMPUTED_VALUE"""),"B2C")</f>
        <v>B2C</v>
      </c>
      <c r="H336" s="10" t="str">
        <f ca="1">IFERROR(__xludf.DUMMYFUNCTION("""COMPUTED_VALUE"""),"Shri Vishal Soni")</f>
        <v>Shri Vishal Soni</v>
      </c>
    </row>
    <row r="337" spans="1:8">
      <c r="A337" s="10">
        <f ca="1">IFERROR(__xludf.DUMMYFUNCTION("""COMPUTED_VALUE"""),91)</f>
        <v>91</v>
      </c>
      <c r="B337" s="10" t="str">
        <f ca="1">IFERROR(__xludf.DUMMYFUNCTION("""COMPUTED_VALUE"""),"Mandsaur")</f>
        <v>Mandsaur</v>
      </c>
      <c r="C337" s="10" t="str">
        <f ca="1">IFERROR(__xludf.DUMMYFUNCTION("""COMPUTED_VALUE"""),"SHREE SURBHI DHOOP EVAM VEDLAKSHANA GOMATA KA DESHI GHEE")</f>
        <v>SHREE SURBHI DHOOP EVAM VEDLAKSHANA GOMATA KA DESHI GHEE</v>
      </c>
      <c r="D337" s="10">
        <f ca="1">IFERROR(__xludf.DUMMYFUNCTION("""COMPUTED_VALUE"""),1567414215)</f>
        <v>1567414215</v>
      </c>
      <c r="E337" s="12">
        <f ca="1">IFERROR(__xludf.DUMMYFUNCTION("""COMPUTED_VALUE"""),46276)</f>
        <v>46276</v>
      </c>
      <c r="F337" s="10"/>
      <c r="G337" s="10" t="str">
        <f ca="1">IFERROR(__xludf.DUMMYFUNCTION("""COMPUTED_VALUE"""),"B2C")</f>
        <v>B2C</v>
      </c>
      <c r="H337" s="10"/>
    </row>
    <row r="338" spans="1:8">
      <c r="A338" s="10">
        <f ca="1">IFERROR(__xludf.DUMMYFUNCTION("""COMPUTED_VALUE"""),92)</f>
        <v>92</v>
      </c>
      <c r="B338" s="10" t="str">
        <f ca="1">IFERROR(__xludf.DUMMYFUNCTION("""COMPUTED_VALUE"""),"Mandsaur")</f>
        <v>Mandsaur</v>
      </c>
      <c r="C338" s="10" t="str">
        <f ca="1">IFERROR(__xludf.DUMMYFUNCTION("""COMPUTED_VALUE"""),"GULF TOURS AND TRAVELS")</f>
        <v>GULF TOURS AND TRAVELS</v>
      </c>
      <c r="D338" s="10">
        <f ca="1">IFERROR(__xludf.DUMMYFUNCTION("""COMPUTED_VALUE"""),1753922895)</f>
        <v>1753922895</v>
      </c>
      <c r="E338" s="12">
        <f ca="1">IFERROR(__xludf.DUMMYFUNCTION("""COMPUTED_VALUE"""),46280)</f>
        <v>46280</v>
      </c>
      <c r="F338" s="10"/>
      <c r="G338" s="10" t="str">
        <f ca="1">IFERROR(__xludf.DUMMYFUNCTION("""COMPUTED_VALUE"""),"B2C")</f>
        <v>B2C</v>
      </c>
      <c r="H338" s="10"/>
    </row>
    <row r="339" spans="1:8">
      <c r="A339" s="10">
        <f ca="1">IFERROR(__xludf.DUMMYFUNCTION("""COMPUTED_VALUE"""),93)</f>
        <v>93</v>
      </c>
      <c r="B339" s="10" t="str">
        <f ca="1">IFERROR(__xludf.DUMMYFUNCTION("""COMPUTED_VALUE"""),"Mandsaur")</f>
        <v>Mandsaur</v>
      </c>
      <c r="C339" s="10" t="str">
        <f ca="1">IFERROR(__xludf.DUMMYFUNCTION("""COMPUTED_VALUE"""),"VIRAT SLATE PENCIL")</f>
        <v>VIRAT SLATE PENCIL</v>
      </c>
      <c r="D339" s="10">
        <f ca="1">IFERROR(__xludf.DUMMYFUNCTION("""COMPUTED_VALUE"""),1242583964)</f>
        <v>1242583964</v>
      </c>
      <c r="E339" s="12">
        <f ca="1">IFERROR(__xludf.DUMMYFUNCTION("""COMPUTED_VALUE"""),46280)</f>
        <v>46280</v>
      </c>
      <c r="F339" s="10"/>
      <c r="G339" s="10" t="str">
        <f ca="1">IFERROR(__xludf.DUMMYFUNCTION("""COMPUTED_VALUE"""),"B2C")</f>
        <v>B2C</v>
      </c>
      <c r="H339" s="10" t="str">
        <f ca="1">IFERROR(__xludf.DUMMYFUNCTION("""COMPUTED_VALUE"""),"Shri Vishal Soni")</f>
        <v>Shri Vishal Soni</v>
      </c>
    </row>
    <row r="340" spans="1:8">
      <c r="A340" s="10">
        <f ca="1">IFERROR(__xludf.DUMMYFUNCTION("""COMPUTED_VALUE"""),94)</f>
        <v>94</v>
      </c>
      <c r="B340" s="10" t="str">
        <f ca="1">IFERROR(__xludf.DUMMYFUNCTION("""COMPUTED_VALUE"""),"Mandsaur")</f>
        <v>Mandsaur</v>
      </c>
      <c r="C340" s="10" t="str">
        <f ca="1">IFERROR(__xludf.DUMMYFUNCTION("""COMPUTED_VALUE"""),"SHUBHAM SAREE CENTER")</f>
        <v>SHUBHAM SAREE CENTER</v>
      </c>
      <c r="D340" s="10">
        <f ca="1">IFERROR(__xludf.DUMMYFUNCTION("""COMPUTED_VALUE"""),1714059911)</f>
        <v>1714059911</v>
      </c>
      <c r="E340" s="12">
        <f ca="1">IFERROR(__xludf.DUMMYFUNCTION("""COMPUTED_VALUE"""),46280)</f>
        <v>46280</v>
      </c>
      <c r="F340" s="10"/>
      <c r="G340" s="10" t="str">
        <f ca="1">IFERROR(__xludf.DUMMYFUNCTION("""COMPUTED_VALUE"""),"B2C")</f>
        <v>B2C</v>
      </c>
      <c r="H340" s="10"/>
    </row>
    <row r="341" spans="1:8">
      <c r="A341" s="10">
        <f ca="1">IFERROR(__xludf.DUMMYFUNCTION("""COMPUTED_VALUE"""),95)</f>
        <v>95</v>
      </c>
      <c r="B341" s="10" t="str">
        <f ca="1">IFERROR(__xludf.DUMMYFUNCTION("""COMPUTED_VALUE"""),"Mandsaur")</f>
        <v>Mandsaur</v>
      </c>
      <c r="C341" s="10" t="str">
        <f ca="1">IFERROR(__xludf.DUMMYFUNCTION("""COMPUTED_VALUE"""),"THE GOLD FABRICS")</f>
        <v>THE GOLD FABRICS</v>
      </c>
      <c r="D341" s="10">
        <f ca="1">IFERROR(__xludf.DUMMYFUNCTION("""COMPUTED_VALUE"""),1722386015)</f>
        <v>1722386015</v>
      </c>
      <c r="E341" s="12">
        <f ca="1">IFERROR(__xludf.DUMMYFUNCTION("""COMPUTED_VALUE"""),46280)</f>
        <v>46280</v>
      </c>
      <c r="F341" s="10"/>
      <c r="G341" s="10" t="str">
        <f ca="1">IFERROR(__xludf.DUMMYFUNCTION("""COMPUTED_VALUE"""),"B2C")</f>
        <v>B2C</v>
      </c>
      <c r="H341" s="10"/>
    </row>
    <row r="342" spans="1:8">
      <c r="A342" s="10">
        <f ca="1">IFERROR(__xludf.DUMMYFUNCTION("""COMPUTED_VALUE"""),96)</f>
        <v>96</v>
      </c>
      <c r="B342" s="10" t="str">
        <f ca="1">IFERROR(__xludf.DUMMYFUNCTION("""COMPUTED_VALUE"""),"Mandsaur")</f>
        <v>Mandsaur</v>
      </c>
      <c r="C342" s="10" t="str">
        <f ca="1">IFERROR(__xludf.DUMMYFUNCTION("""COMPUTED_VALUE"""),"Shree shyam agro international")</f>
        <v>Shree shyam agro international</v>
      </c>
      <c r="D342" s="10">
        <f ca="1">IFERROR(__xludf.DUMMYFUNCTION("""COMPUTED_VALUE"""),1750186689)</f>
        <v>1750186689</v>
      </c>
      <c r="E342" s="12">
        <f ca="1">IFERROR(__xludf.DUMMYFUNCTION("""COMPUTED_VALUE"""),46282)</f>
        <v>46282</v>
      </c>
      <c r="F342" s="10"/>
      <c r="G342" s="10" t="str">
        <f ca="1">IFERROR(__xludf.DUMMYFUNCTION("""COMPUTED_VALUE"""),"B2C")</f>
        <v>B2C</v>
      </c>
      <c r="H342" s="10"/>
    </row>
    <row r="343" spans="1:8">
      <c r="A343" s="10">
        <f ca="1">IFERROR(__xludf.DUMMYFUNCTION("""COMPUTED_VALUE"""),97)</f>
        <v>97</v>
      </c>
      <c r="B343" s="10" t="str">
        <f ca="1">IFERROR(__xludf.DUMMYFUNCTION("""COMPUTED_VALUE"""),"Mandsaur")</f>
        <v>Mandsaur</v>
      </c>
      <c r="C343" s="10" t="str">
        <f ca="1">IFERROR(__xludf.DUMMYFUNCTION("""COMPUTED_VALUE"""),"Ajay trading company")</f>
        <v>Ajay trading company</v>
      </c>
      <c r="D343" s="10">
        <f ca="1">IFERROR(__xludf.DUMMYFUNCTION("""COMPUTED_VALUE"""),1839454215)</f>
        <v>1839454215</v>
      </c>
      <c r="E343" s="12">
        <f ca="1">IFERROR(__xludf.DUMMYFUNCTION("""COMPUTED_VALUE"""),46284)</f>
        <v>46284</v>
      </c>
      <c r="F343" s="10"/>
      <c r="G343" s="10" t="str">
        <f ca="1">IFERROR(__xludf.DUMMYFUNCTION("""COMPUTED_VALUE"""),"B2C")</f>
        <v>B2C</v>
      </c>
      <c r="H343" s="10" t="str">
        <f ca="1">IFERROR(__xludf.DUMMYFUNCTION("""COMPUTED_VALUE"""),"Shri Yash Mittal")</f>
        <v>Shri Yash Mittal</v>
      </c>
    </row>
    <row r="344" spans="1:8">
      <c r="A344" s="10">
        <f ca="1">IFERROR(__xludf.DUMMYFUNCTION("""COMPUTED_VALUE"""),98)</f>
        <v>98</v>
      </c>
      <c r="B344" s="10" t="str">
        <f ca="1">IFERROR(__xludf.DUMMYFUNCTION("""COMPUTED_VALUE"""),"Mandsaur")</f>
        <v>Mandsaur</v>
      </c>
      <c r="C344" s="10" t="str">
        <f ca="1">IFERROR(__xludf.DUMMYFUNCTION("""COMPUTED_VALUE"""),"SBI Khadawada")</f>
        <v>SBI Khadawada</v>
      </c>
      <c r="D344" s="10">
        <f ca="1">IFERROR(__xludf.DUMMYFUNCTION("""COMPUTED_VALUE"""),1575445425)</f>
        <v>1575445425</v>
      </c>
      <c r="E344" s="12">
        <f ca="1">IFERROR(__xludf.DUMMYFUNCTION("""COMPUTED_VALUE"""),46286)</f>
        <v>46286</v>
      </c>
      <c r="F344" s="10"/>
      <c r="G344" s="10" t="str">
        <f ca="1">IFERROR(__xludf.DUMMYFUNCTION("""COMPUTED_VALUE"""),"B2C")</f>
        <v>B2C</v>
      </c>
      <c r="H344" s="10" t="str">
        <f ca="1">IFERROR(__xludf.DUMMYFUNCTION("""COMPUTED_VALUE"""),"Shri Vishal Soni")</f>
        <v>Shri Vishal Soni</v>
      </c>
    </row>
    <row r="345" spans="1:8">
      <c r="A345" s="10">
        <f ca="1">IFERROR(__xludf.DUMMYFUNCTION("""COMPUTED_VALUE"""),99)</f>
        <v>99</v>
      </c>
      <c r="B345" s="10" t="str">
        <f ca="1">IFERROR(__xludf.DUMMYFUNCTION("""COMPUTED_VALUE"""),"Mandsaur")</f>
        <v>Mandsaur</v>
      </c>
      <c r="C345" s="10" t="str">
        <f ca="1">IFERROR(__xludf.DUMMYFUNCTION("""COMPUTED_VALUE"""),"Central Bank of India Shamgarh")</f>
        <v>Central Bank of India Shamgarh</v>
      </c>
      <c r="D345" s="10">
        <f ca="1">IFERROR(__xludf.DUMMYFUNCTION("""COMPUTED_VALUE"""),1198278689)</f>
        <v>1198278689</v>
      </c>
      <c r="E345" s="12">
        <f ca="1">IFERROR(__xludf.DUMMYFUNCTION("""COMPUTED_VALUE"""),46286)</f>
        <v>46286</v>
      </c>
      <c r="F345" s="10"/>
      <c r="G345" s="10" t="str">
        <f ca="1">IFERROR(__xludf.DUMMYFUNCTION("""COMPUTED_VALUE"""),"B2C")</f>
        <v>B2C</v>
      </c>
      <c r="H345" s="10" t="str">
        <f ca="1">IFERROR(__xludf.DUMMYFUNCTION("""COMPUTED_VALUE"""),"Shri Vishal Soni")</f>
        <v>Shri Vishal Soni</v>
      </c>
    </row>
    <row r="346" spans="1:8">
      <c r="A346" s="10">
        <f ca="1">IFERROR(__xludf.DUMMYFUNCTION("""COMPUTED_VALUE"""),100)</f>
        <v>100</v>
      </c>
      <c r="B346" s="10" t="str">
        <f ca="1">IFERROR(__xludf.DUMMYFUNCTION("""COMPUTED_VALUE"""),"Mandsaur")</f>
        <v>Mandsaur</v>
      </c>
      <c r="C346" s="10" t="str">
        <f ca="1">IFERROR(__xludf.DUMMYFUNCTION("""COMPUTED_VALUE"""),"Kanha Collection")</f>
        <v>Kanha Collection</v>
      </c>
      <c r="D346" s="10">
        <f ca="1">IFERROR(__xludf.DUMMYFUNCTION("""COMPUTED_VALUE"""),1270346341)</f>
        <v>1270346341</v>
      </c>
      <c r="E346" s="12">
        <f ca="1">IFERROR(__xludf.DUMMYFUNCTION("""COMPUTED_VALUE"""),46286)</f>
        <v>46286</v>
      </c>
      <c r="F346" s="10"/>
      <c r="G346" s="10" t="str">
        <f ca="1">IFERROR(__xludf.DUMMYFUNCTION("""COMPUTED_VALUE"""),"B2C")</f>
        <v>B2C</v>
      </c>
      <c r="H346" s="10" t="str">
        <f ca="1">IFERROR(__xludf.DUMMYFUNCTION("""COMPUTED_VALUE"""),"Shri Vishal Soni")</f>
        <v>Shri Vishal Soni</v>
      </c>
    </row>
    <row r="347" spans="1:8">
      <c r="A347" s="10">
        <f ca="1">IFERROR(__xludf.DUMMYFUNCTION("""COMPUTED_VALUE"""),101)</f>
        <v>101</v>
      </c>
      <c r="B347" s="10" t="str">
        <f ca="1">IFERROR(__xludf.DUMMYFUNCTION("""COMPUTED_VALUE"""),"Mandsaur")</f>
        <v>Mandsaur</v>
      </c>
      <c r="C347" s="10" t="str">
        <f ca="1">IFERROR(__xludf.DUMMYFUNCTION("""COMPUTED_VALUE"""),"Vinod tailor")</f>
        <v>Vinod tailor</v>
      </c>
      <c r="D347" s="10">
        <f ca="1">IFERROR(__xludf.DUMMYFUNCTION("""COMPUTED_VALUE"""),1884869881)</f>
        <v>1884869881</v>
      </c>
      <c r="E347" s="12">
        <f ca="1">IFERROR(__xludf.DUMMYFUNCTION("""COMPUTED_VALUE"""),46293)</f>
        <v>46293</v>
      </c>
      <c r="F347" s="10"/>
      <c r="G347" s="10" t="str">
        <f ca="1">IFERROR(__xludf.DUMMYFUNCTION("""COMPUTED_VALUE"""),"B2C")</f>
        <v>B2C</v>
      </c>
      <c r="H347" s="10" t="str">
        <f ca="1">IFERROR(__xludf.DUMMYFUNCTION("""COMPUTED_VALUE"""),"Shri Yash Mittal")</f>
        <v>Shri Yash Mittal</v>
      </c>
    </row>
    <row r="348" spans="1:8">
      <c r="A348" s="10">
        <f ca="1">IFERROR(__xludf.DUMMYFUNCTION("""COMPUTED_VALUE"""),102)</f>
        <v>102</v>
      </c>
      <c r="B348" s="10" t="str">
        <f ca="1">IFERROR(__xludf.DUMMYFUNCTION("""COMPUTED_VALUE"""),"Mandsaur")</f>
        <v>Mandsaur</v>
      </c>
      <c r="C348" s="10" t="str">
        <f ca="1">IFERROR(__xludf.DUMMYFUNCTION("""COMPUTED_VALUE"""),"NEEMUCH SPICES LLP")</f>
        <v>NEEMUCH SPICES LLP</v>
      </c>
      <c r="D348" s="10">
        <f ca="1">IFERROR(__xludf.DUMMYFUNCTION("""COMPUTED_VALUE"""),1901963132)</f>
        <v>1901963132</v>
      </c>
      <c r="E348" s="12">
        <f ca="1">IFERROR(__xludf.DUMMYFUNCTION("""COMPUTED_VALUE"""),46293)</f>
        <v>46293</v>
      </c>
      <c r="F348" s="10"/>
      <c r="G348" s="10" t="str">
        <f ca="1">IFERROR(__xludf.DUMMYFUNCTION("""COMPUTED_VALUE"""),"B2C")</f>
        <v>B2C</v>
      </c>
      <c r="H348" s="10" t="str">
        <f ca="1">IFERROR(__xludf.DUMMYFUNCTION("""COMPUTED_VALUE"""),"Shri Yash Mittal")</f>
        <v>Shri Yash Mittal</v>
      </c>
    </row>
    <row r="349" spans="1:8">
      <c r="A349" s="10">
        <f ca="1">IFERROR(__xludf.DUMMYFUNCTION("""COMPUTED_VALUE"""),1)</f>
        <v>1</v>
      </c>
      <c r="B349" s="10" t="str">
        <f ca="1">IFERROR(__xludf.DUMMYFUNCTION("""COMPUTED_VALUE"""),"Ratlam")</f>
        <v>Ratlam</v>
      </c>
      <c r="C349" s="10" t="str">
        <f ca="1">IFERROR(__xludf.DUMMYFUNCTION("""COMPUTED_VALUE"""),"Bank of Baroda jaora branch")</f>
        <v>Bank of Baroda jaora branch</v>
      </c>
      <c r="D349" s="10">
        <f ca="1">IFERROR(__xludf.DUMMYFUNCTION("""COMPUTED_VALUE"""),1389789531)</f>
        <v>1389789531</v>
      </c>
      <c r="E349" s="12">
        <f ca="1">IFERROR(__xludf.DUMMYFUNCTION("""COMPUTED_VALUE"""),46205)</f>
        <v>46205</v>
      </c>
      <c r="F349" s="10" t="str">
        <f ca="1">IFERROR(__xludf.DUMMYFUNCTION("""COMPUTED_VALUE"""),"Speed Post Document")</f>
        <v>Speed Post Document</v>
      </c>
      <c r="G349" s="10" t="str">
        <f ca="1">IFERROR(__xludf.DUMMYFUNCTION("""COMPUTED_VALUE"""),"B2C")</f>
        <v>B2C</v>
      </c>
      <c r="H349" s="10" t="str">
        <f ca="1">IFERROR(__xludf.DUMMYFUNCTION("""COMPUTED_VALUE"""),"Abhishek Malviye")</f>
        <v>Abhishek Malviye</v>
      </c>
    </row>
    <row r="350" spans="1:8">
      <c r="A350" s="10">
        <f ca="1">IFERROR(__xludf.DUMMYFUNCTION("""COMPUTED_VALUE"""),2)</f>
        <v>2</v>
      </c>
      <c r="B350" s="10" t="str">
        <f ca="1">IFERROR(__xludf.DUMMYFUNCTION("""COMPUTED_VALUE"""),"Ratlam")</f>
        <v>Ratlam</v>
      </c>
      <c r="C350" s="10" t="str">
        <f ca="1">IFERROR(__xludf.DUMMYFUNCTION("""COMPUTED_VALUE"""),"DIVINE FEMME")</f>
        <v>DIVINE FEMME</v>
      </c>
      <c r="D350" s="10">
        <f ca="1">IFERROR(__xludf.DUMMYFUNCTION("""COMPUTED_VALUE"""),1162813943)</f>
        <v>1162813943</v>
      </c>
      <c r="E350" s="12">
        <f ca="1">IFERROR(__xludf.DUMMYFUNCTION("""COMPUTED_VALUE"""),46241)</f>
        <v>46241</v>
      </c>
      <c r="F350" s="10" t="str">
        <f ca="1">IFERROR(__xludf.DUMMYFUNCTION("""COMPUTED_VALUE"""),"India Post Parcel Contractual")</f>
        <v>India Post Parcel Contractual</v>
      </c>
      <c r="G350" s="10" t="str">
        <f ca="1">IFERROR(__xludf.DUMMYFUNCTION("""COMPUTED_VALUE"""),"B2C")</f>
        <v>B2C</v>
      </c>
      <c r="H350" s="10" t="str">
        <f ca="1">IFERROR(__xludf.DUMMYFUNCTION("""COMPUTED_VALUE"""),"Abhishek Malviye")</f>
        <v>Abhishek Malviye</v>
      </c>
    </row>
    <row r="351" spans="1:8">
      <c r="A351" s="10">
        <f ca="1">IFERROR(__xludf.DUMMYFUNCTION("""COMPUTED_VALUE"""),3)</f>
        <v>3</v>
      </c>
      <c r="B351" s="10" t="str">
        <f ca="1">IFERROR(__xludf.DUMMYFUNCTION("""COMPUTED_VALUE"""),"Ratlam")</f>
        <v>Ratlam</v>
      </c>
      <c r="C351" s="10" t="str">
        <f ca="1">IFERROR(__xludf.DUMMYFUNCTION("""COMPUTED_VALUE"""),"Kashi Saree")</f>
        <v>Kashi Saree</v>
      </c>
      <c r="D351" s="10">
        <f ca="1">IFERROR(__xludf.DUMMYFUNCTION("""COMPUTED_VALUE"""),1300401626)</f>
        <v>1300401626</v>
      </c>
      <c r="E351" s="12">
        <f ca="1">IFERROR(__xludf.DUMMYFUNCTION("""COMPUTED_VALUE"""),46216)</f>
        <v>46216</v>
      </c>
      <c r="F351" s="10" t="str">
        <f ca="1">IFERROR(__xludf.DUMMYFUNCTION("""COMPUTED_VALUE"""),"India Post Parcel Contractual")</f>
        <v>India Post Parcel Contractual</v>
      </c>
      <c r="G351" s="10" t="str">
        <f ca="1">IFERROR(__xludf.DUMMYFUNCTION("""COMPUTED_VALUE"""),"B2C")</f>
        <v>B2C</v>
      </c>
      <c r="H351" s="10" t="str">
        <f ca="1">IFERROR(__xludf.DUMMYFUNCTION("""COMPUTED_VALUE"""),"Abhishek Malviye")</f>
        <v>Abhishek Malviye</v>
      </c>
    </row>
    <row r="352" spans="1:8">
      <c r="A352" s="10">
        <f ca="1">IFERROR(__xludf.DUMMYFUNCTION("""COMPUTED_VALUE"""),4)</f>
        <v>4</v>
      </c>
      <c r="B352" s="10" t="str">
        <f ca="1">IFERROR(__xludf.DUMMYFUNCTION("""COMPUTED_VALUE"""),"Ratlam")</f>
        <v>Ratlam</v>
      </c>
      <c r="C352" s="10" t="str">
        <f ca="1">IFERROR(__xludf.DUMMYFUNCTION("""COMPUTED_VALUE"""),"Jay Dhakad")</f>
        <v>Jay Dhakad</v>
      </c>
      <c r="D352" s="10">
        <f ca="1">IFERROR(__xludf.DUMMYFUNCTION("""COMPUTED_VALUE"""),1239000513)</f>
        <v>1239000513</v>
      </c>
      <c r="E352" s="12"/>
      <c r="F352" s="10" t="str">
        <f ca="1">IFERROR(__xludf.DUMMYFUNCTION("""COMPUTED_VALUE"""),"India Post Parcel Contractual")</f>
        <v>India Post Parcel Contractual</v>
      </c>
      <c r="G352" s="10" t="str">
        <f ca="1">IFERROR(__xludf.DUMMYFUNCTION("""COMPUTED_VALUE"""),"B2C")</f>
        <v>B2C</v>
      </c>
      <c r="H352" s="10" t="str">
        <f ca="1">IFERROR(__xludf.DUMMYFUNCTION("""COMPUTED_VALUE"""),"Abhishek Malviye")</f>
        <v>Abhishek Malviye</v>
      </c>
    </row>
    <row r="353" spans="1:8">
      <c r="A353" s="10">
        <f ca="1">IFERROR(__xludf.DUMMYFUNCTION("""COMPUTED_VALUE"""),5)</f>
        <v>5</v>
      </c>
      <c r="B353" s="10" t="str">
        <f ca="1">IFERROR(__xludf.DUMMYFUNCTION("""COMPUTED_VALUE"""),"Ratlam")</f>
        <v>Ratlam</v>
      </c>
      <c r="C353" s="10" t="str">
        <f ca="1">IFERROR(__xludf.DUMMYFUNCTION("""COMPUTED_VALUE"""),"vithalesh sarees")</f>
        <v>vithalesh sarees</v>
      </c>
      <c r="D353" s="10">
        <f ca="1">IFERROR(__xludf.DUMMYFUNCTION("""COMPUTED_VALUE"""),1196273906)</f>
        <v>1196273906</v>
      </c>
      <c r="E353" s="12"/>
      <c r="F353" s="10" t="str">
        <f ca="1">IFERROR(__xludf.DUMMYFUNCTION("""COMPUTED_VALUE"""),"India Post Parcel Contractual")</f>
        <v>India Post Parcel Contractual</v>
      </c>
      <c r="G353" s="10" t="str">
        <f ca="1">IFERROR(__xludf.DUMMYFUNCTION("""COMPUTED_VALUE"""),"B2C")</f>
        <v>B2C</v>
      </c>
      <c r="H353" s="10" t="str">
        <f ca="1">IFERROR(__xludf.DUMMYFUNCTION("""COMPUTED_VALUE"""),"Abhishek Malviye")</f>
        <v>Abhishek Malviye</v>
      </c>
    </row>
    <row r="354" spans="1:8">
      <c r="A354" s="10">
        <f ca="1">IFERROR(__xludf.DUMMYFUNCTION("""COMPUTED_VALUE"""),6)</f>
        <v>6</v>
      </c>
      <c r="B354" s="10" t="str">
        <f ca="1">IFERROR(__xludf.DUMMYFUNCTION("""COMPUTED_VALUE"""),"Ratlam")</f>
        <v>Ratlam</v>
      </c>
      <c r="C354" s="10" t="str">
        <f ca="1">IFERROR(__xludf.DUMMYFUNCTION("""COMPUTED_VALUE"""),"Bank of India Krishi Upaj Mandi")</f>
        <v>Bank of India Krishi Upaj Mandi</v>
      </c>
      <c r="D354" s="10">
        <f ca="1">IFERROR(__xludf.DUMMYFUNCTION("""COMPUTED_VALUE"""),1693473047)</f>
        <v>1693473047</v>
      </c>
      <c r="E354" s="12"/>
      <c r="F354" s="10" t="str">
        <f ca="1">IFERROR(__xludf.DUMMYFUNCTION("""COMPUTED_VALUE"""),"India Post Parcel Contractual")</f>
        <v>India Post Parcel Contractual</v>
      </c>
      <c r="G354" s="10" t="str">
        <f ca="1">IFERROR(__xludf.DUMMYFUNCTION("""COMPUTED_VALUE"""),"B2C")</f>
        <v>B2C</v>
      </c>
      <c r="H354" s="10" t="str">
        <f ca="1">IFERROR(__xludf.DUMMYFUNCTION("""COMPUTED_VALUE"""),"Ayush Gupta")</f>
        <v>Ayush Gupta</v>
      </c>
    </row>
    <row r="355" spans="1:8">
      <c r="A355" s="10">
        <f ca="1">IFERROR(__xludf.DUMMYFUNCTION("""COMPUTED_VALUE"""),7)</f>
        <v>7</v>
      </c>
      <c r="B355" s="10" t="str">
        <f ca="1">IFERROR(__xludf.DUMMYFUNCTION("""COMPUTED_VALUE"""),"Ratlam")</f>
        <v>Ratlam</v>
      </c>
      <c r="C355" s="10" t="str">
        <f ca="1">IFERROR(__xludf.DUMMYFUNCTION("""COMPUTED_VALUE"""),"Rang Varsha Sarees")</f>
        <v>Rang Varsha Sarees</v>
      </c>
      <c r="D355" s="10">
        <f ca="1">IFERROR(__xludf.DUMMYFUNCTION("""COMPUTED_VALUE"""),1318726462)</f>
        <v>1318726462</v>
      </c>
      <c r="E355" s="12"/>
      <c r="F355" s="10" t="str">
        <f ca="1">IFERROR(__xludf.DUMMYFUNCTION("""COMPUTED_VALUE"""),"India Post Parcel Contractual")</f>
        <v>India Post Parcel Contractual</v>
      </c>
      <c r="G355" s="10" t="str">
        <f ca="1">IFERROR(__xludf.DUMMYFUNCTION("""COMPUTED_VALUE"""),"B2C")</f>
        <v>B2C</v>
      </c>
      <c r="H355" s="10" t="str">
        <f ca="1">IFERROR(__xludf.DUMMYFUNCTION("""COMPUTED_VALUE"""),"Ayush Gupta")</f>
        <v>Ayush Gupta</v>
      </c>
    </row>
    <row r="356" spans="1:8">
      <c r="A356" s="10">
        <f ca="1">IFERROR(__xludf.DUMMYFUNCTION("""COMPUTED_VALUE"""),8)</f>
        <v>8</v>
      </c>
      <c r="B356" s="10" t="str">
        <f ca="1">IFERROR(__xludf.DUMMYFUNCTION("""COMPUTED_VALUE"""),"Ratlam")</f>
        <v>Ratlam</v>
      </c>
      <c r="C356" s="10" t="str">
        <f ca="1">IFERROR(__xludf.DUMMYFUNCTION("""COMPUTED_VALUE"""),"SBI Rajwada Chowk")</f>
        <v>SBI Rajwada Chowk</v>
      </c>
      <c r="D356" s="10">
        <f ca="1">IFERROR(__xludf.DUMMYFUNCTION("""COMPUTED_VALUE"""),1170048154)</f>
        <v>1170048154</v>
      </c>
      <c r="E356" s="12">
        <f ca="1">IFERROR(__xludf.DUMMYFUNCTION("""COMPUTED_VALUE"""),46252)</f>
        <v>46252</v>
      </c>
      <c r="F356" s="10" t="str">
        <f ca="1">IFERROR(__xludf.DUMMYFUNCTION("""COMPUTED_VALUE"""),"Speed Post Document")</f>
        <v>Speed Post Document</v>
      </c>
      <c r="G356" s="10" t="str">
        <f ca="1">IFERROR(__xludf.DUMMYFUNCTION("""COMPUTED_VALUE"""),"B2C")</f>
        <v>B2C</v>
      </c>
      <c r="H356" s="10" t="str">
        <f ca="1">IFERROR(__xludf.DUMMYFUNCTION("""COMPUTED_VALUE"""),"Kavita Bhuriya")</f>
        <v>Kavita Bhuriya</v>
      </c>
    </row>
    <row r="357" spans="1:8">
      <c r="A357" s="10">
        <f ca="1">IFERROR(__xludf.DUMMYFUNCTION("""COMPUTED_VALUE"""),9)</f>
        <v>9</v>
      </c>
      <c r="B357" s="10" t="str">
        <f ca="1">IFERROR(__xludf.DUMMYFUNCTION("""COMPUTED_VALUE"""),"Ratlam")</f>
        <v>Ratlam</v>
      </c>
      <c r="C357" s="10" t="str">
        <f ca="1">IFERROR(__xludf.DUMMYFUNCTION("""COMPUTED_VALUE"""),"HDFC BANK JHABUA BRANCH")</f>
        <v>HDFC BANK JHABUA BRANCH</v>
      </c>
      <c r="D357" s="10">
        <f ca="1">IFERROR(__xludf.DUMMYFUNCTION("""COMPUTED_VALUE"""),1910649609)</f>
        <v>1910649609</v>
      </c>
      <c r="E357" s="12"/>
      <c r="F357" s="10" t="str">
        <f ca="1">IFERROR(__xludf.DUMMYFUNCTION("""COMPUTED_VALUE"""),"Speed Post Document")</f>
        <v>Speed Post Document</v>
      </c>
      <c r="G357" s="10" t="str">
        <f ca="1">IFERROR(__xludf.DUMMYFUNCTION("""COMPUTED_VALUE"""),"B2C")</f>
        <v>B2C</v>
      </c>
      <c r="H357" s="10" t="str">
        <f ca="1">IFERROR(__xludf.DUMMYFUNCTION("""COMPUTED_VALUE"""),"Kavita Bhuriya")</f>
        <v>Kavita Bhuriya</v>
      </c>
    </row>
    <row r="358" spans="1:8">
      <c r="A358" s="10">
        <f ca="1">IFERROR(__xludf.DUMMYFUNCTION("""COMPUTED_VALUE"""),10)</f>
        <v>10</v>
      </c>
      <c r="B358" s="10" t="str">
        <f ca="1">IFERROR(__xludf.DUMMYFUNCTION("""COMPUTED_VALUE"""),"Ratlam")</f>
        <v>Ratlam</v>
      </c>
      <c r="C358" s="10" t="str">
        <f ca="1">IFERROR(__xludf.DUMMYFUNCTION("""COMPUTED_VALUE"""),"Divy Narayan Soni ")</f>
        <v xml:space="preserve">Divy Narayan Soni </v>
      </c>
      <c r="D358" s="10">
        <f ca="1">IFERROR(__xludf.DUMMYFUNCTION("""COMPUTED_VALUE"""),1254769708)</f>
        <v>1254769708</v>
      </c>
      <c r="E358" s="12"/>
      <c r="F358" s="10" t="str">
        <f ca="1">IFERROR(__xludf.DUMMYFUNCTION("""COMPUTED_VALUE"""),"Speed Post Parcel Contractual")</f>
        <v>Speed Post Parcel Contractual</v>
      </c>
      <c r="G358" s="10" t="str">
        <f ca="1">IFERROR(__xludf.DUMMYFUNCTION("""COMPUTED_VALUE"""),"B2B")</f>
        <v>B2B</v>
      </c>
      <c r="H358" s="10" t="str">
        <f ca="1">IFERROR(__xludf.DUMMYFUNCTION("""COMPUTED_VALUE"""),"Kunal Baurasi")</f>
        <v>Kunal Baurasi</v>
      </c>
    </row>
    <row r="359" spans="1:8">
      <c r="A359" s="10">
        <f ca="1">IFERROR(__xludf.DUMMYFUNCTION("""COMPUTED_VALUE"""),11)</f>
        <v>11</v>
      </c>
      <c r="B359" s="10" t="str">
        <f ca="1">IFERROR(__xludf.DUMMYFUNCTION("""COMPUTED_VALUE"""),"Ratlam")</f>
        <v>Ratlam</v>
      </c>
      <c r="C359" s="10" t="str">
        <f ca="1">IFERROR(__xludf.DUMMYFUNCTION("""COMPUTED_VALUE"""),"PANCHAL HOTELWARE AND MACHINARY Lohar road Ratlam")</f>
        <v>PANCHAL HOTELWARE AND MACHINARY Lohar road Ratlam</v>
      </c>
      <c r="D359" s="10">
        <f ca="1">IFERROR(__xludf.DUMMYFUNCTION("""COMPUTED_VALUE"""),1241371047)</f>
        <v>1241371047</v>
      </c>
      <c r="E359" s="12"/>
      <c r="F359" s="10" t="str">
        <f ca="1">IFERROR(__xludf.DUMMYFUNCTION("""COMPUTED_VALUE"""),"India Post Parcel Contractual")</f>
        <v>India Post Parcel Contractual</v>
      </c>
      <c r="G359" s="10" t="str">
        <f ca="1">IFERROR(__xludf.DUMMYFUNCTION("""COMPUTED_VALUE"""),"B2C")</f>
        <v>B2C</v>
      </c>
      <c r="H359" s="10" t="str">
        <f ca="1">IFERROR(__xludf.DUMMYFUNCTION("""COMPUTED_VALUE"""),"Kunal Baurasi")</f>
        <v>Kunal Baurasi</v>
      </c>
    </row>
    <row r="360" spans="1:8">
      <c r="A360" s="10">
        <f ca="1">IFERROR(__xludf.DUMMYFUNCTION("""COMPUTED_VALUE"""),12)</f>
        <v>12</v>
      </c>
      <c r="B360" s="10" t="str">
        <f ca="1">IFERROR(__xludf.DUMMYFUNCTION("""COMPUTED_VALUE"""),"Ratlam")</f>
        <v>Ratlam</v>
      </c>
      <c r="C360" s="10" t="str">
        <f ca="1">IFERROR(__xludf.DUMMYFUNCTION("""COMPUTED_VALUE"""),"Puneet Enterprises")</f>
        <v>Puneet Enterprises</v>
      </c>
      <c r="D360" s="10">
        <f ca="1">IFERROR(__xludf.DUMMYFUNCTION("""COMPUTED_VALUE"""),1351719501)</f>
        <v>1351719501</v>
      </c>
      <c r="E360" s="12"/>
      <c r="F360" s="10" t="str">
        <f ca="1">IFERROR(__xludf.DUMMYFUNCTION("""COMPUTED_VALUE"""),"India Post Parcel Contractual")</f>
        <v>India Post Parcel Contractual</v>
      </c>
      <c r="G360" s="10" t="str">
        <f ca="1">IFERROR(__xludf.DUMMYFUNCTION("""COMPUTED_VALUE"""),"B2B")</f>
        <v>B2B</v>
      </c>
      <c r="H360" s="10" t="str">
        <f ca="1">IFERROR(__xludf.DUMMYFUNCTION("""COMPUTED_VALUE"""),"Ayush Gupta")</f>
        <v>Ayush Gupta</v>
      </c>
    </row>
    <row r="361" spans="1:8">
      <c r="A361" s="10">
        <f ca="1">IFERROR(__xludf.DUMMYFUNCTION("""COMPUTED_VALUE"""),13)</f>
        <v>13</v>
      </c>
      <c r="B361" s="10" t="str">
        <f ca="1">IFERROR(__xludf.DUMMYFUNCTION("""COMPUTED_VALUE"""),"Ratlam")</f>
        <v>Ratlam</v>
      </c>
      <c r="C361" s="10" t="str">
        <f ca="1">IFERROR(__xludf.DUMMYFUNCTION("""COMPUTED_VALUE"""),"Sai Services")</f>
        <v>Sai Services</v>
      </c>
      <c r="D361" s="10">
        <f ca="1">IFERROR(__xludf.DUMMYFUNCTION("""COMPUTED_VALUE"""),1714557030)</f>
        <v>1714557030</v>
      </c>
      <c r="E361" s="12"/>
      <c r="F361" s="10" t="str">
        <f ca="1">IFERROR(__xludf.DUMMYFUNCTION("""COMPUTED_VALUE"""),"India Post Parcel Contractual")</f>
        <v>India Post Parcel Contractual</v>
      </c>
      <c r="G361" s="10" t="str">
        <f ca="1">IFERROR(__xludf.DUMMYFUNCTION("""COMPUTED_VALUE"""),"B2C")</f>
        <v>B2C</v>
      </c>
      <c r="H361" s="10" t="str">
        <f ca="1">IFERROR(__xludf.DUMMYFUNCTION("""COMPUTED_VALUE"""),"Kunal Baurasi")</f>
        <v>Kunal Baurasi</v>
      </c>
    </row>
    <row r="362" spans="1:8">
      <c r="A362" s="10">
        <f ca="1">IFERROR(__xludf.DUMMYFUNCTION("""COMPUTED_VALUE"""),14)</f>
        <v>14</v>
      </c>
      <c r="B362" s="10" t="str">
        <f ca="1">IFERROR(__xludf.DUMMYFUNCTION("""COMPUTED_VALUE"""),"Ratlam")</f>
        <v>Ratlam</v>
      </c>
      <c r="C362" s="10" t="str">
        <f ca="1">IFERROR(__xludf.DUMMYFUNCTION("""COMPUTED_VALUE"""),"SINDAL AND COMPANY")</f>
        <v>SINDAL AND COMPANY</v>
      </c>
      <c r="D362" s="10">
        <f ca="1">IFERROR(__xludf.DUMMYFUNCTION("""COMPUTED_VALUE"""),1604629625)</f>
        <v>1604629625</v>
      </c>
      <c r="E362" s="12"/>
      <c r="F362" s="10" t="str">
        <f ca="1">IFERROR(__xludf.DUMMYFUNCTION("""COMPUTED_VALUE"""),"India Post Parcel Contractual")</f>
        <v>India Post Parcel Contractual</v>
      </c>
      <c r="G362" s="10" t="str">
        <f ca="1">IFERROR(__xludf.DUMMYFUNCTION("""COMPUTED_VALUE"""),"B2C")</f>
        <v>B2C</v>
      </c>
      <c r="H362" s="10" t="str">
        <f ca="1">IFERROR(__xludf.DUMMYFUNCTION("""COMPUTED_VALUE"""),"Kunal Baurasi")</f>
        <v>Kunal Baurasi</v>
      </c>
    </row>
    <row r="363" spans="1:8">
      <c r="A363" s="10">
        <f ca="1">IFERROR(__xludf.DUMMYFUNCTION("""COMPUTED_VALUE"""),15)</f>
        <v>15</v>
      </c>
      <c r="B363" s="10" t="str">
        <f ca="1">IFERROR(__xludf.DUMMYFUNCTION("""COMPUTED_VALUE"""),"Ratlam")</f>
        <v>Ratlam</v>
      </c>
      <c r="C363" s="10" t="str">
        <f ca="1">IFERROR(__xludf.DUMMYFUNCTION("""COMPUTED_VALUE"""),"Arihant Imitation")</f>
        <v>Arihant Imitation</v>
      </c>
      <c r="D363" s="10">
        <f ca="1">IFERROR(__xludf.DUMMYFUNCTION("""COMPUTED_VALUE"""),1444165342)</f>
        <v>1444165342</v>
      </c>
      <c r="E363" s="12"/>
      <c r="F363" s="10" t="str">
        <f ca="1">IFERROR(__xludf.DUMMYFUNCTION("""COMPUTED_VALUE"""),"India Post Parcel Contractual")</f>
        <v>India Post Parcel Contractual</v>
      </c>
      <c r="G363" s="10" t="str">
        <f ca="1">IFERROR(__xludf.DUMMYFUNCTION("""COMPUTED_VALUE"""),"B2C")</f>
        <v>B2C</v>
      </c>
      <c r="H363" s="10" t="str">
        <f ca="1">IFERROR(__xludf.DUMMYFUNCTION("""COMPUTED_VALUE"""),"Surendra Singh")</f>
        <v>Surendra Singh</v>
      </c>
    </row>
    <row r="364" spans="1:8">
      <c r="A364" s="10">
        <f ca="1">IFERROR(__xludf.DUMMYFUNCTION("""COMPUTED_VALUE"""),16)</f>
        <v>16</v>
      </c>
      <c r="B364" s="10" t="str">
        <f ca="1">IFERROR(__xludf.DUMMYFUNCTION("""COMPUTED_VALUE"""),"Ratlam")</f>
        <v>Ratlam</v>
      </c>
      <c r="C364" s="10" t="str">
        <f ca="1">IFERROR(__xludf.DUMMYFUNCTION("""COMPUTED_VALUE"""),"CHETNA TAILOR")</f>
        <v>CHETNA TAILOR</v>
      </c>
      <c r="D364" s="10">
        <f ca="1">IFERROR(__xludf.DUMMYFUNCTION("""COMPUTED_VALUE"""),1630516103)</f>
        <v>1630516103</v>
      </c>
      <c r="E364" s="12"/>
      <c r="F364" s="10" t="str">
        <f ca="1">IFERROR(__xludf.DUMMYFUNCTION("""COMPUTED_VALUE"""),"India Post Parcel Contractual")</f>
        <v>India Post Parcel Contractual</v>
      </c>
      <c r="G364" s="10" t="str">
        <f ca="1">IFERROR(__xludf.DUMMYFUNCTION("""COMPUTED_VALUE"""),"B2C")</f>
        <v>B2C</v>
      </c>
      <c r="H364" s="10" t="str">
        <f ca="1">IFERROR(__xludf.DUMMYFUNCTION("""COMPUTED_VALUE"""),"Ayush Gupta")</f>
        <v>Ayush Gupta</v>
      </c>
    </row>
    <row r="365" spans="1:8">
      <c r="A365" s="10">
        <f ca="1">IFERROR(__xludf.DUMMYFUNCTION("""COMPUTED_VALUE"""),17)</f>
        <v>17</v>
      </c>
      <c r="B365" s="10" t="str">
        <f ca="1">IFERROR(__xludf.DUMMYFUNCTION("""COMPUTED_VALUE"""),"Ratlam")</f>
        <v>Ratlam</v>
      </c>
      <c r="C365" s="10" t="str">
        <f ca="1">IFERROR(__xludf.DUMMYFUNCTION("""COMPUTED_VALUE"""),"HARDIK BARMECHA")</f>
        <v>HARDIK BARMECHA</v>
      </c>
      <c r="D365" s="10">
        <f ca="1">IFERROR(__xludf.DUMMYFUNCTION("""COMPUTED_VALUE"""),1908960328)</f>
        <v>1908960328</v>
      </c>
      <c r="E365" s="12">
        <f ca="1">IFERROR(__xludf.DUMMYFUNCTION("""COMPUTED_VALUE"""),46241)</f>
        <v>46241</v>
      </c>
      <c r="F365" s="10" t="str">
        <f ca="1">IFERROR(__xludf.DUMMYFUNCTION("""COMPUTED_VALUE"""),"India Post Parcel Contractual")</f>
        <v>India Post Parcel Contractual</v>
      </c>
      <c r="G365" s="10" t="str">
        <f ca="1">IFERROR(__xludf.DUMMYFUNCTION("""COMPUTED_VALUE"""),"B2C")</f>
        <v>B2C</v>
      </c>
      <c r="H365" s="10" t="str">
        <f ca="1">IFERROR(__xludf.DUMMYFUNCTION("""COMPUTED_VALUE"""),"Surendra Singh")</f>
        <v>Surendra Singh</v>
      </c>
    </row>
    <row r="366" spans="1:8">
      <c r="A366" s="10">
        <f ca="1">IFERROR(__xludf.DUMMYFUNCTION("""COMPUTED_VALUE"""),18)</f>
        <v>18</v>
      </c>
      <c r="B366" s="10" t="str">
        <f ca="1">IFERROR(__xludf.DUMMYFUNCTION("""COMPUTED_VALUE"""),"Ratlam")</f>
        <v>Ratlam</v>
      </c>
      <c r="C366" s="10" t="str">
        <f ca="1">IFERROR(__xludf.DUMMYFUNCTION("""COMPUTED_VALUE"""),"MANMEET SAREES")</f>
        <v>MANMEET SAREES</v>
      </c>
      <c r="D366" s="10">
        <f ca="1">IFERROR(__xludf.DUMMYFUNCTION("""COMPUTED_VALUE"""),1225279034)</f>
        <v>1225279034</v>
      </c>
      <c r="E366" s="12">
        <f ca="1">IFERROR(__xludf.DUMMYFUNCTION("""COMPUTED_VALUE"""),46241)</f>
        <v>46241</v>
      </c>
      <c r="F366" s="10" t="str">
        <f ca="1">IFERROR(__xludf.DUMMYFUNCTION("""COMPUTED_VALUE"""),"India Post Parcel Contractual")</f>
        <v>India Post Parcel Contractual</v>
      </c>
      <c r="G366" s="10" t="str">
        <f ca="1">IFERROR(__xludf.DUMMYFUNCTION("""COMPUTED_VALUE"""),"B2C")</f>
        <v>B2C</v>
      </c>
      <c r="H366" s="10" t="str">
        <f ca="1">IFERROR(__xludf.DUMMYFUNCTION("""COMPUTED_VALUE"""),"Surendra Singh")</f>
        <v>Surendra Singh</v>
      </c>
    </row>
    <row r="367" spans="1:8">
      <c r="A367" s="10">
        <f ca="1">IFERROR(__xludf.DUMMYFUNCTION("""COMPUTED_VALUE"""),19)</f>
        <v>19</v>
      </c>
      <c r="B367" s="10" t="str">
        <f ca="1">IFERROR(__xludf.DUMMYFUNCTION("""COMPUTED_VALUE"""),"Ratlam")</f>
        <v>Ratlam</v>
      </c>
      <c r="C367" s="10" t="str">
        <f ca="1">IFERROR(__xludf.DUMMYFUNCTION("""COMPUTED_VALUE"""),"NAKODA NX Ratlam")</f>
        <v>NAKODA NX Ratlam</v>
      </c>
      <c r="D367" s="10">
        <f ca="1">IFERROR(__xludf.DUMMYFUNCTION("""COMPUTED_VALUE"""),1468276742)</f>
        <v>1468276742</v>
      </c>
      <c r="E367" s="12">
        <f ca="1">IFERROR(__xludf.DUMMYFUNCTION("""COMPUTED_VALUE"""),46219)</f>
        <v>46219</v>
      </c>
      <c r="F367" s="10" t="str">
        <f ca="1">IFERROR(__xludf.DUMMYFUNCTION("""COMPUTED_VALUE"""),"India Post Parcel Contractual")</f>
        <v>India Post Parcel Contractual</v>
      </c>
      <c r="G367" s="10" t="str">
        <f ca="1">IFERROR(__xludf.DUMMYFUNCTION("""COMPUTED_VALUE"""),"B2C")</f>
        <v>B2C</v>
      </c>
      <c r="H367" s="10" t="str">
        <f ca="1">IFERROR(__xludf.DUMMYFUNCTION("""COMPUTED_VALUE"""),"Surendra Singh")</f>
        <v>Surendra Singh</v>
      </c>
    </row>
    <row r="368" spans="1:8">
      <c r="A368" s="10">
        <f ca="1">IFERROR(__xludf.DUMMYFUNCTION("""COMPUTED_VALUE"""),20)</f>
        <v>20</v>
      </c>
      <c r="B368" s="10" t="str">
        <f ca="1">IFERROR(__xludf.DUMMYFUNCTION("""COMPUTED_VALUE"""),"Ratlam")</f>
        <v>Ratlam</v>
      </c>
      <c r="C368" s="10" t="str">
        <f ca="1">IFERROR(__xludf.DUMMYFUNCTION("""COMPUTED_VALUE"""),"Khabiya Cloth Store")</f>
        <v>Khabiya Cloth Store</v>
      </c>
      <c r="D368" s="10">
        <f ca="1">IFERROR(__xludf.DUMMYFUNCTION("""COMPUTED_VALUE"""),1000057272)</f>
        <v>1000057272</v>
      </c>
      <c r="E368" s="12"/>
      <c r="F368" s="10" t="str">
        <f ca="1">IFERROR(__xludf.DUMMYFUNCTION("""COMPUTED_VALUE"""),"India Post Parcel Contractual")</f>
        <v>India Post Parcel Contractual</v>
      </c>
      <c r="G368" s="10" t="str">
        <f ca="1">IFERROR(__xludf.DUMMYFUNCTION("""COMPUTED_VALUE"""),"B2C")</f>
        <v>B2C</v>
      </c>
      <c r="H368" s="10" t="str">
        <f ca="1">IFERROR(__xludf.DUMMYFUNCTION("""COMPUTED_VALUE"""),"Ayush Gupta")</f>
        <v>Ayush Gupta</v>
      </c>
    </row>
    <row r="369" spans="1:8">
      <c r="A369" s="10">
        <f ca="1">IFERROR(__xludf.DUMMYFUNCTION("""COMPUTED_VALUE"""),21)</f>
        <v>21</v>
      </c>
      <c r="B369" s="10" t="str">
        <f ca="1">IFERROR(__xludf.DUMMYFUNCTION("""COMPUTED_VALUE"""),"Ratlam")</f>
        <v>Ratlam</v>
      </c>
      <c r="C369" s="10" t="str">
        <f ca="1">IFERROR(__xludf.DUMMYFUNCTION("""COMPUTED_VALUE"""),"chirag  prodocut ")</f>
        <v xml:space="preserve">chirag  prodocut </v>
      </c>
      <c r="D369" s="10">
        <f ca="1">IFERROR(__xludf.DUMMYFUNCTION("""COMPUTED_VALUE"""),1254012899)</f>
        <v>1254012899</v>
      </c>
      <c r="E369" s="12">
        <f ca="1">IFERROR(__xludf.DUMMYFUNCTION("""COMPUTED_VALUE"""),46266)</f>
        <v>46266</v>
      </c>
      <c r="F369" s="10" t="str">
        <f ca="1">IFERROR(__xludf.DUMMYFUNCTION("""COMPUTED_VALUE"""),"India Post Parcel Contractual")</f>
        <v>India Post Parcel Contractual</v>
      </c>
      <c r="G369" s="10" t="str">
        <f ca="1">IFERROR(__xludf.DUMMYFUNCTION("""COMPUTED_VALUE"""),"B2C")</f>
        <v>B2C</v>
      </c>
      <c r="H369" s="10" t="str">
        <f ca="1">IFERROR(__xludf.DUMMYFUNCTION("""COMPUTED_VALUE"""),"Ashok Jatiya")</f>
        <v>Ashok Jatiya</v>
      </c>
    </row>
    <row r="370" spans="1:8">
      <c r="A370" s="10">
        <f ca="1">IFERROR(__xludf.DUMMYFUNCTION("""COMPUTED_VALUE"""),22)</f>
        <v>22</v>
      </c>
      <c r="B370" s="10" t="str">
        <f ca="1">IFERROR(__xludf.DUMMYFUNCTION("""COMPUTED_VALUE"""),"Ratlam")</f>
        <v>Ratlam</v>
      </c>
      <c r="C370" s="10"/>
      <c r="D370" s="10"/>
      <c r="E370" s="12"/>
      <c r="F370" s="10"/>
      <c r="G370" s="10"/>
      <c r="H370" s="10"/>
    </row>
    <row r="371" spans="1:8">
      <c r="A371" s="10">
        <f ca="1">IFERROR(__xludf.DUMMYFUNCTION("""COMPUTED_VALUE"""),23)</f>
        <v>23</v>
      </c>
      <c r="B371" s="10" t="str">
        <f ca="1">IFERROR(__xludf.DUMMYFUNCTION("""COMPUTED_VALUE"""),"Ratlam")</f>
        <v>Ratlam</v>
      </c>
      <c r="C371" s="10"/>
      <c r="D371" s="10"/>
      <c r="E371" s="12"/>
      <c r="F371" s="10"/>
      <c r="G371" s="10"/>
      <c r="H371" s="10"/>
    </row>
    <row r="372" spans="1:8">
      <c r="A372" s="10">
        <f ca="1">IFERROR(__xludf.DUMMYFUNCTION("""COMPUTED_VALUE"""),24)</f>
        <v>24</v>
      </c>
      <c r="B372" s="10" t="str">
        <f ca="1">IFERROR(__xludf.DUMMYFUNCTION("""COMPUTED_VALUE"""),"Ratlam")</f>
        <v>Ratlam</v>
      </c>
      <c r="C372" s="10"/>
      <c r="D372" s="10"/>
      <c r="E372" s="12"/>
      <c r="F372" s="10"/>
      <c r="G372" s="10"/>
      <c r="H372" s="10"/>
    </row>
    <row r="373" spans="1:8">
      <c r="A373" s="10">
        <f ca="1">IFERROR(__xludf.DUMMYFUNCTION("""COMPUTED_VALUE"""),25)</f>
        <v>25</v>
      </c>
      <c r="B373" s="10" t="str">
        <f ca="1">IFERROR(__xludf.DUMMYFUNCTION("""COMPUTED_VALUE"""),"Ratlam")</f>
        <v>Ratlam</v>
      </c>
      <c r="C373" s="10"/>
      <c r="D373" s="10"/>
      <c r="E373" s="12"/>
      <c r="F373" s="10"/>
      <c r="G373" s="10"/>
      <c r="H373" s="10"/>
    </row>
    <row r="374" spans="1:8">
      <c r="A374" s="10">
        <f ca="1">IFERROR(__xludf.DUMMYFUNCTION("""COMPUTED_VALUE"""),1)</f>
        <v>1</v>
      </c>
      <c r="B374" s="10" t="str">
        <f ca="1">IFERROR(__xludf.DUMMYFUNCTION("""COMPUTED_VALUE"""),"Sehore")</f>
        <v>Sehore</v>
      </c>
      <c r="C374" s="10" t="str">
        <f ca="1">IFERROR(__xludf.DUMMYFUNCTION("""COMPUTED_VALUE"""),"SARTHAK ENTERPRISES")</f>
        <v>SARTHAK ENTERPRISES</v>
      </c>
      <c r="D374" s="10">
        <f ca="1">IFERROR(__xludf.DUMMYFUNCTION("""COMPUTED_VALUE"""),1131913090)</f>
        <v>1131913090</v>
      </c>
      <c r="E374" s="12"/>
      <c r="F374" s="10"/>
      <c r="G374" s="10" t="str">
        <f ca="1">IFERROR(__xludf.DUMMYFUNCTION("""COMPUTED_VALUE"""),"B2C")</f>
        <v>B2C</v>
      </c>
      <c r="H374" s="10" t="str">
        <f ca="1">IFERROR(__xludf.DUMMYFUNCTION("""COMPUTED_VALUE"""),"HEMANT BAGHEL")</f>
        <v>HEMANT BAGHEL</v>
      </c>
    </row>
    <row r="375" spans="1:8">
      <c r="A375" s="10">
        <f ca="1">IFERROR(__xludf.DUMMYFUNCTION("""COMPUTED_VALUE"""),2)</f>
        <v>2</v>
      </c>
      <c r="B375" s="10" t="str">
        <f ca="1">IFERROR(__xludf.DUMMYFUNCTION("""COMPUTED_VALUE"""),"Sehore")</f>
        <v>Sehore</v>
      </c>
      <c r="C375" s="10" t="str">
        <f ca="1">IFERROR(__xludf.DUMMYFUNCTION("""COMPUTED_VALUE"""),"JADUI DHAGE")</f>
        <v>JADUI DHAGE</v>
      </c>
      <c r="D375" s="10">
        <f ca="1">IFERROR(__xludf.DUMMYFUNCTION("""COMPUTED_VALUE"""),1978020115)</f>
        <v>1978020115</v>
      </c>
      <c r="E375" s="12"/>
      <c r="F375" s="10"/>
      <c r="G375" s="10" t="str">
        <f ca="1">IFERROR(__xludf.DUMMYFUNCTION("""COMPUTED_VALUE"""),"B2C")</f>
        <v>B2C</v>
      </c>
      <c r="H375" s="10" t="str">
        <f ca="1">IFERROR(__xludf.DUMMYFUNCTION("""COMPUTED_VALUE"""),"HEMANT BAGHEL")</f>
        <v>HEMANT BAGHEL</v>
      </c>
    </row>
    <row r="376" spans="1:8">
      <c r="A376" s="10">
        <f ca="1">IFERROR(__xludf.DUMMYFUNCTION("""COMPUTED_VALUE"""),3)</f>
        <v>3</v>
      </c>
      <c r="B376" s="10" t="str">
        <f ca="1">IFERROR(__xludf.DUMMYFUNCTION("""COMPUTED_VALUE"""),"Sehore")</f>
        <v>Sehore</v>
      </c>
      <c r="C376" s="10" t="str">
        <f ca="1">IFERROR(__xludf.DUMMYFUNCTION("""COMPUTED_VALUE"""),"Union Bank of India")</f>
        <v>Union Bank of India</v>
      </c>
      <c r="D376" s="10">
        <f ca="1">IFERROR(__xludf.DUMMYFUNCTION("""COMPUTED_VALUE"""),1634270893)</f>
        <v>1634270893</v>
      </c>
      <c r="E376" s="12"/>
      <c r="F376" s="10"/>
      <c r="G376" s="10" t="str">
        <f ca="1">IFERROR(__xludf.DUMMYFUNCTION("""COMPUTED_VALUE"""),"B2C")</f>
        <v>B2C</v>
      </c>
      <c r="H376" s="10" t="str">
        <f ca="1">IFERROR(__xludf.DUMMYFUNCTION("""COMPUTED_VALUE"""),"DEEPIKA VERMA")</f>
        <v>DEEPIKA VERMA</v>
      </c>
    </row>
    <row r="377" spans="1:8">
      <c r="A377" s="10">
        <f ca="1">IFERROR(__xludf.DUMMYFUNCTION("""COMPUTED_VALUE"""),4)</f>
        <v>4</v>
      </c>
      <c r="B377" s="10" t="str">
        <f ca="1">IFERROR(__xludf.DUMMYFUNCTION("""COMPUTED_VALUE"""),"Sehore")</f>
        <v>Sehore</v>
      </c>
      <c r="C377" s="10" t="str">
        <f ca="1">IFERROR(__xludf.DUMMYFUNCTION("""COMPUTED_VALUE"""),"State Bank of India")</f>
        <v>State Bank of India</v>
      </c>
      <c r="D377" s="10">
        <f ca="1">IFERROR(__xludf.DUMMYFUNCTION("""COMPUTED_VALUE"""),1549258110)</f>
        <v>1549258110</v>
      </c>
      <c r="E377" s="12"/>
      <c r="F377" s="10"/>
      <c r="G377" s="10" t="str">
        <f ca="1">IFERROR(__xludf.DUMMYFUNCTION("""COMPUTED_VALUE"""),"B2C")</f>
        <v>B2C</v>
      </c>
      <c r="H377" s="10" t="str">
        <f ca="1">IFERROR(__xludf.DUMMYFUNCTION("""COMPUTED_VALUE"""),"DEEPIKA VERMA")</f>
        <v>DEEPIKA VERMA</v>
      </c>
    </row>
    <row r="378" spans="1:8">
      <c r="A378" s="10">
        <f ca="1">IFERROR(__xludf.DUMMYFUNCTION("""COMPUTED_VALUE"""),5)</f>
        <v>5</v>
      </c>
      <c r="B378" s="10" t="str">
        <f ca="1">IFERROR(__xludf.DUMMYFUNCTION("""COMPUTED_VALUE"""),"Sehore")</f>
        <v>Sehore</v>
      </c>
      <c r="C378" s="10" t="str">
        <f ca="1">IFERROR(__xludf.DUMMYFUNCTION("""COMPUTED_VALUE"""),"Spare Outlet Krishna Soni")</f>
        <v>Spare Outlet Krishna Soni</v>
      </c>
      <c r="D378" s="10">
        <f ca="1">IFERROR(__xludf.DUMMYFUNCTION("""COMPUTED_VALUE"""),1840236106)</f>
        <v>1840236106</v>
      </c>
      <c r="E378" s="12"/>
      <c r="F378" s="10"/>
      <c r="G378" s="10" t="str">
        <f ca="1">IFERROR(__xludf.DUMMYFUNCTION("""COMPUTED_VALUE"""),"B2C")</f>
        <v>B2C</v>
      </c>
      <c r="H378" s="10" t="str">
        <f ca="1">IFERROR(__xludf.DUMMYFUNCTION("""COMPUTED_VALUE"""),"NEELESH VERMA")</f>
        <v>NEELESH VERMA</v>
      </c>
    </row>
    <row r="379" spans="1:8">
      <c r="A379" s="10">
        <f ca="1">IFERROR(__xludf.DUMMYFUNCTION("""COMPUTED_VALUE"""),6)</f>
        <v>6</v>
      </c>
      <c r="B379" s="10" t="str">
        <f ca="1">IFERROR(__xludf.DUMMYFUNCTION("""COMPUTED_VALUE"""),"Sehore")</f>
        <v>Sehore</v>
      </c>
      <c r="C379" s="10" t="str">
        <f ca="1">IFERROR(__xludf.DUMMYFUNCTION("""COMPUTED_VALUE"""),"Amit Raj Singh Kushwah")</f>
        <v>Amit Raj Singh Kushwah</v>
      </c>
      <c r="D379" s="10">
        <f ca="1">IFERROR(__xludf.DUMMYFUNCTION("""COMPUTED_VALUE"""),1905833890)</f>
        <v>1905833890</v>
      </c>
      <c r="E379" s="12"/>
      <c r="F379" s="10"/>
      <c r="G379" s="10" t="str">
        <f ca="1">IFERROR(__xludf.DUMMYFUNCTION("""COMPUTED_VALUE"""),"B2C")</f>
        <v>B2C</v>
      </c>
      <c r="H379" s="10" t="str">
        <f ca="1">IFERROR(__xludf.DUMMYFUNCTION("""COMPUTED_VALUE"""),"NEELESH VERMA")</f>
        <v>NEELESH VERMA</v>
      </c>
    </row>
    <row r="380" spans="1:8">
      <c r="A380" s="10">
        <f ca="1">IFERROR(__xludf.DUMMYFUNCTION("""COMPUTED_VALUE"""),7)</f>
        <v>7</v>
      </c>
      <c r="B380" s="10" t="str">
        <f ca="1">IFERROR(__xludf.DUMMYFUNCTION("""COMPUTED_VALUE"""),"Sehore")</f>
        <v>Sehore</v>
      </c>
      <c r="C380" s="10" t="str">
        <f ca="1">IFERROR(__xludf.DUMMYFUNCTION("""COMPUTED_VALUE"""),"Divya Gound")</f>
        <v>Divya Gound</v>
      </c>
      <c r="D380" s="10">
        <f ca="1">IFERROR(__xludf.DUMMYFUNCTION("""COMPUTED_VALUE"""),1353715832)</f>
        <v>1353715832</v>
      </c>
      <c r="E380" s="12"/>
      <c r="F380" s="10"/>
      <c r="G380" s="10" t="str">
        <f ca="1">IFERROR(__xludf.DUMMYFUNCTION("""COMPUTED_VALUE"""),"B2C")</f>
        <v>B2C</v>
      </c>
      <c r="H380" s="10" t="str">
        <f ca="1">IFERROR(__xludf.DUMMYFUNCTION("""COMPUTED_VALUE"""),"NEELESH VERMA")</f>
        <v>NEELESH VERMA</v>
      </c>
    </row>
    <row r="381" spans="1:8">
      <c r="A381" s="10">
        <f ca="1">IFERROR(__xludf.DUMMYFUNCTION("""COMPUTED_VALUE"""),8)</f>
        <v>8</v>
      </c>
      <c r="B381" s="10" t="str">
        <f ca="1">IFERROR(__xludf.DUMMYFUNCTION("""COMPUTED_VALUE"""),"Sehore")</f>
        <v>Sehore</v>
      </c>
      <c r="C381" s="10" t="str">
        <f ca="1">IFERROR(__xludf.DUMMYFUNCTION("""COMPUTED_VALUE"""),"punam rathore")</f>
        <v>punam rathore</v>
      </c>
      <c r="D381" s="10">
        <f ca="1">IFERROR(__xludf.DUMMYFUNCTION("""COMPUTED_VALUE"""),1404019518)</f>
        <v>1404019518</v>
      </c>
      <c r="E381" s="12"/>
      <c r="F381" s="10"/>
      <c r="G381" s="10" t="str">
        <f ca="1">IFERROR(__xludf.DUMMYFUNCTION("""COMPUTED_VALUE"""),"B2C")</f>
        <v>B2C</v>
      </c>
      <c r="H381" s="10" t="str">
        <f ca="1">IFERROR(__xludf.DUMMYFUNCTION("""COMPUTED_VALUE"""),"HEMANT BAGHEL")</f>
        <v>HEMANT BAGHEL</v>
      </c>
    </row>
    <row r="382" spans="1:8">
      <c r="A382" s="10">
        <f ca="1">IFERROR(__xludf.DUMMYFUNCTION("""COMPUTED_VALUE"""),9)</f>
        <v>9</v>
      </c>
      <c r="B382" s="10" t="str">
        <f ca="1">IFERROR(__xludf.DUMMYFUNCTION("""COMPUTED_VALUE"""),"Sehore")</f>
        <v>Sehore</v>
      </c>
      <c r="C382" s="10" t="str">
        <f ca="1">IFERROR(__xludf.DUMMYFUNCTION("""COMPUTED_VALUE"""),"STATE BANK OF INDIA")</f>
        <v>STATE BANK OF INDIA</v>
      </c>
      <c r="D382" s="10">
        <f ca="1">IFERROR(__xludf.DUMMYFUNCTION("""COMPUTED_VALUE"""),1811627323)</f>
        <v>1811627323</v>
      </c>
      <c r="E382" s="12"/>
      <c r="F382" s="10"/>
      <c r="G382" s="10" t="str">
        <f ca="1">IFERROR(__xludf.DUMMYFUNCTION("""COMPUTED_VALUE"""),"B2C")</f>
        <v>B2C</v>
      </c>
      <c r="H382" s="10" t="str">
        <f ca="1">IFERROR(__xludf.DUMMYFUNCTION("""COMPUTED_VALUE"""),"NEELESH VERMA")</f>
        <v>NEELESH VERMA</v>
      </c>
    </row>
    <row r="383" spans="1:8">
      <c r="A383" s="10">
        <f ca="1">IFERROR(__xludf.DUMMYFUNCTION("""COMPUTED_VALUE"""),10)</f>
        <v>10</v>
      </c>
      <c r="B383" s="10" t="str">
        <f ca="1">IFERROR(__xludf.DUMMYFUNCTION("""COMPUTED_VALUE"""),"Sehore")</f>
        <v>Sehore</v>
      </c>
      <c r="C383" s="10" t="str">
        <f ca="1">IFERROR(__xludf.DUMMYFUNCTION("""COMPUTED_VALUE"""),"Shree Ji Collection")</f>
        <v>Shree Ji Collection</v>
      </c>
      <c r="D383" s="10">
        <f ca="1">IFERROR(__xludf.DUMMYFUNCTION("""COMPUTED_VALUE"""),1357785958)</f>
        <v>1357785958</v>
      </c>
      <c r="E383" s="12"/>
      <c r="F383" s="10"/>
      <c r="G383" s="10" t="str">
        <f ca="1">IFERROR(__xludf.DUMMYFUNCTION("""COMPUTED_VALUE"""),"B2C")</f>
        <v>B2C</v>
      </c>
      <c r="H383" s="10" t="str">
        <f ca="1">IFERROR(__xludf.DUMMYFUNCTION("""COMPUTED_VALUE"""),"NEELESH VERMA")</f>
        <v>NEELESH VERMA</v>
      </c>
    </row>
    <row r="384" spans="1:8">
      <c r="A384" s="10">
        <f ca="1">IFERROR(__xludf.DUMMYFUNCTION("""COMPUTED_VALUE"""),11)</f>
        <v>11</v>
      </c>
      <c r="B384" s="10" t="str">
        <f ca="1">IFERROR(__xludf.DUMMYFUNCTION("""COMPUTED_VALUE"""),"Sehore")</f>
        <v>Sehore</v>
      </c>
      <c r="C384" s="10" t="str">
        <f ca="1">IFERROR(__xludf.DUMMYFUNCTION("""COMPUTED_VALUE"""),"Ashu Collection")</f>
        <v>Ashu Collection</v>
      </c>
      <c r="D384" s="10">
        <f ca="1">IFERROR(__xludf.DUMMYFUNCTION("""COMPUTED_VALUE"""),1605992803)</f>
        <v>1605992803</v>
      </c>
      <c r="E384" s="12"/>
      <c r="F384" s="10"/>
      <c r="G384" s="10" t="str">
        <f ca="1">IFERROR(__xludf.DUMMYFUNCTION("""COMPUTED_VALUE"""),"B2C")</f>
        <v>B2C</v>
      </c>
      <c r="H384" s="10" t="str">
        <f ca="1">IFERROR(__xludf.DUMMYFUNCTION("""COMPUTED_VALUE"""),"NEELESH VERMA")</f>
        <v>NEELESH VERMA</v>
      </c>
    </row>
    <row r="385" spans="1:8">
      <c r="A385" s="10">
        <f ca="1">IFERROR(__xludf.DUMMYFUNCTION("""COMPUTED_VALUE"""),12)</f>
        <v>12</v>
      </c>
      <c r="B385" s="10" t="str">
        <f ca="1">IFERROR(__xludf.DUMMYFUNCTION("""COMPUTED_VALUE"""),"Sehore")</f>
        <v>Sehore</v>
      </c>
      <c r="C385" s="10" t="str">
        <f ca="1">IFERROR(__xludf.DUMMYFUNCTION("""COMPUTED_VALUE"""),"Shivna Prakashan")</f>
        <v>Shivna Prakashan</v>
      </c>
      <c r="D385" s="10">
        <f ca="1">IFERROR(__xludf.DUMMYFUNCTION("""COMPUTED_VALUE"""),1662698556)</f>
        <v>1662698556</v>
      </c>
      <c r="E385" s="12"/>
      <c r="F385" s="10"/>
      <c r="G385" s="10" t="str">
        <f ca="1">IFERROR(__xludf.DUMMYFUNCTION("""COMPUTED_VALUE"""),"B2C")</f>
        <v>B2C</v>
      </c>
      <c r="H385" s="10" t="str">
        <f ca="1">IFERROR(__xludf.DUMMYFUNCTION("""COMPUTED_VALUE"""),"HEMANT BAGHEL")</f>
        <v>HEMANT BAGHEL</v>
      </c>
    </row>
    <row r="386" spans="1:8">
      <c r="A386" s="10">
        <f ca="1">IFERROR(__xludf.DUMMYFUNCTION("""COMPUTED_VALUE"""),13)</f>
        <v>13</v>
      </c>
      <c r="B386" s="10" t="str">
        <f ca="1">IFERROR(__xludf.DUMMYFUNCTION("""COMPUTED_VALUE"""),"Sehore")</f>
        <v>Sehore</v>
      </c>
      <c r="C386" s="10" t="str">
        <f ca="1">IFERROR(__xludf.DUMMYFUNCTION("""COMPUTED_VALUE"""),"Dr. R.K. Brajpuriya")</f>
        <v>Dr. R.K. Brajpuriya</v>
      </c>
      <c r="D386" s="10">
        <f ca="1">IFERROR(__xludf.DUMMYFUNCTION("""COMPUTED_VALUE"""),1572789347)</f>
        <v>1572789347</v>
      </c>
      <c r="E386" s="12"/>
      <c r="F386" s="10"/>
      <c r="G386" s="10" t="str">
        <f ca="1">IFERROR(__xludf.DUMMYFUNCTION("""COMPUTED_VALUE"""),"B2C")</f>
        <v>B2C</v>
      </c>
      <c r="H386" s="10" t="str">
        <f ca="1">IFERROR(__xludf.DUMMYFUNCTION("""COMPUTED_VALUE"""),"NEELESH VERMA")</f>
        <v>NEELESH VERMA</v>
      </c>
    </row>
    <row r="387" spans="1:8">
      <c r="A387" s="10">
        <f ca="1">IFERROR(__xludf.DUMMYFUNCTION("""COMPUTED_VALUE"""),14)</f>
        <v>14</v>
      </c>
      <c r="B387" s="10" t="str">
        <f ca="1">IFERROR(__xludf.DUMMYFUNCTION("""COMPUTED_VALUE"""),"Sehore")</f>
        <v>Sehore</v>
      </c>
      <c r="C387" s="10" t="str">
        <f ca="1">IFERROR(__xludf.DUMMYFUNCTION("""COMPUTED_VALUE"""),"Vrashank")</f>
        <v>Vrashank</v>
      </c>
      <c r="D387" s="10">
        <f ca="1">IFERROR(__xludf.DUMMYFUNCTION("""COMPUTED_VALUE"""),1564313812)</f>
        <v>1564313812</v>
      </c>
      <c r="E387" s="12"/>
      <c r="F387" s="10"/>
      <c r="G387" s="10" t="str">
        <f ca="1">IFERROR(__xludf.DUMMYFUNCTION("""COMPUTED_VALUE"""),"B2C")</f>
        <v>B2C</v>
      </c>
      <c r="H387" s="10" t="str">
        <f ca="1">IFERROR(__xludf.DUMMYFUNCTION("""COMPUTED_VALUE"""),"NEELESH VERMA")</f>
        <v>NEELESH VERMA</v>
      </c>
    </row>
    <row r="388" spans="1:8">
      <c r="A388" s="10">
        <f ca="1">IFERROR(__xludf.DUMMYFUNCTION("""COMPUTED_VALUE"""),15)</f>
        <v>15</v>
      </c>
      <c r="B388" s="10" t="str">
        <f ca="1">IFERROR(__xludf.DUMMYFUNCTION("""COMPUTED_VALUE"""),"Sehore")</f>
        <v>Sehore</v>
      </c>
      <c r="C388" s="10" t="str">
        <f ca="1">IFERROR(__xludf.DUMMYFUNCTION("""COMPUTED_VALUE"""),"Vaidh Kapil Sharma")</f>
        <v>Vaidh Kapil Sharma</v>
      </c>
      <c r="D388" s="10">
        <f ca="1">IFERROR(__xludf.DUMMYFUNCTION("""COMPUTED_VALUE"""),1119293702)</f>
        <v>1119293702</v>
      </c>
      <c r="E388" s="12"/>
      <c r="F388" s="10"/>
      <c r="G388" s="10" t="str">
        <f ca="1">IFERROR(__xludf.DUMMYFUNCTION("""COMPUTED_VALUE"""),"B2C")</f>
        <v>B2C</v>
      </c>
      <c r="H388" s="10" t="str">
        <f ca="1">IFERROR(__xludf.DUMMYFUNCTION("""COMPUTED_VALUE"""),"NEELESH VERMA")</f>
        <v>NEELESH VERMA</v>
      </c>
    </row>
    <row r="389" spans="1:8">
      <c r="A389" s="10">
        <f ca="1">IFERROR(__xludf.DUMMYFUNCTION("""COMPUTED_VALUE"""),16)</f>
        <v>16</v>
      </c>
      <c r="B389" s="10" t="str">
        <f ca="1">IFERROR(__xludf.DUMMYFUNCTION("""COMPUTED_VALUE"""),"Sehore")</f>
        <v>Sehore</v>
      </c>
      <c r="C389" s="10" t="str">
        <f ca="1">IFERROR(__xludf.DUMMYFUNCTION("""COMPUTED_VALUE"""),"Fashion Mafia")</f>
        <v>Fashion Mafia</v>
      </c>
      <c r="D389" s="10">
        <f ca="1">IFERROR(__xludf.DUMMYFUNCTION("""COMPUTED_VALUE"""),1247967052)</f>
        <v>1247967052</v>
      </c>
      <c r="E389" s="12"/>
      <c r="F389" s="10"/>
      <c r="G389" s="10" t="str">
        <f ca="1">IFERROR(__xludf.DUMMYFUNCTION("""COMPUTED_VALUE"""),"B2C")</f>
        <v>B2C</v>
      </c>
      <c r="H389" s="10" t="str">
        <f ca="1">IFERROR(__xludf.DUMMYFUNCTION("""COMPUTED_VALUE"""),"NEELESH VERMA")</f>
        <v>NEELESH VERMA</v>
      </c>
    </row>
    <row r="390" spans="1:8">
      <c r="A390" s="10">
        <f ca="1">IFERROR(__xludf.DUMMYFUNCTION("""COMPUTED_VALUE"""),17)</f>
        <v>17</v>
      </c>
      <c r="B390" s="10" t="str">
        <f ca="1">IFERROR(__xludf.DUMMYFUNCTION("""COMPUTED_VALUE"""),"Sehore")</f>
        <v>Sehore</v>
      </c>
      <c r="C390" s="10" t="str">
        <f ca="1">IFERROR(__xludf.DUMMYFUNCTION("""COMPUTED_VALUE"""),"CANARA BANK")</f>
        <v>CANARA BANK</v>
      </c>
      <c r="D390" s="10">
        <f ca="1">IFERROR(__xludf.DUMMYFUNCTION("""COMPUTED_VALUE"""),1666860902)</f>
        <v>1666860902</v>
      </c>
      <c r="E390" s="12"/>
      <c r="F390" s="10"/>
      <c r="G390" s="10" t="str">
        <f ca="1">IFERROR(__xludf.DUMMYFUNCTION("""COMPUTED_VALUE"""),"B2C")</f>
        <v>B2C</v>
      </c>
      <c r="H390" s="10" t="str">
        <f ca="1">IFERROR(__xludf.DUMMYFUNCTION("""COMPUTED_VALUE"""),"NEELESH VERMA")</f>
        <v>NEELESH VERMA</v>
      </c>
    </row>
    <row r="391" spans="1:8">
      <c r="A391" s="10">
        <f ca="1">IFERROR(__xludf.DUMMYFUNCTION("""COMPUTED_VALUE"""),18)</f>
        <v>18</v>
      </c>
      <c r="B391" s="10" t="str">
        <f ca="1">IFERROR(__xludf.DUMMYFUNCTION("""COMPUTED_VALUE"""),"Sehore")</f>
        <v>Sehore</v>
      </c>
      <c r="C391" s="10" t="str">
        <f ca="1">IFERROR(__xludf.DUMMYFUNCTION("""COMPUTED_VALUE"""),"STATE BANK OF INDIA")</f>
        <v>STATE BANK OF INDIA</v>
      </c>
      <c r="D391" s="10">
        <f ca="1">IFERROR(__xludf.DUMMYFUNCTION("""COMPUTED_VALUE"""),1764546610)</f>
        <v>1764546610</v>
      </c>
      <c r="E391" s="12"/>
      <c r="F391" s="10"/>
      <c r="G391" s="10" t="str">
        <f ca="1">IFERROR(__xludf.DUMMYFUNCTION("""COMPUTED_VALUE"""),"B2C")</f>
        <v>B2C</v>
      </c>
      <c r="H391" s="10" t="str">
        <f ca="1">IFERROR(__xludf.DUMMYFUNCTION("""COMPUTED_VALUE"""),"NEELESH VERMA")</f>
        <v>NEELESH VERMA</v>
      </c>
    </row>
    <row r="392" spans="1:8">
      <c r="A392" s="10">
        <f ca="1">IFERROR(__xludf.DUMMYFUNCTION("""COMPUTED_VALUE"""),19)</f>
        <v>19</v>
      </c>
      <c r="B392" s="10" t="str">
        <f ca="1">IFERROR(__xludf.DUMMYFUNCTION("""COMPUTED_VALUE"""),"Sehore")</f>
        <v>Sehore</v>
      </c>
      <c r="C392" s="10" t="str">
        <f ca="1">IFERROR(__xludf.DUMMYFUNCTION("""COMPUTED_VALUE"""),"Dr. Anish Baran Basu")</f>
        <v>Dr. Anish Baran Basu</v>
      </c>
      <c r="D392" s="10">
        <f ca="1">IFERROR(__xludf.DUMMYFUNCTION("""COMPUTED_VALUE"""),1386292535)</f>
        <v>1386292535</v>
      </c>
      <c r="E392" s="12"/>
      <c r="F392" s="10"/>
      <c r="G392" s="10" t="str">
        <f ca="1">IFERROR(__xludf.DUMMYFUNCTION("""COMPUTED_VALUE"""),"B2C")</f>
        <v>B2C</v>
      </c>
      <c r="H392" s="10" t="str">
        <f ca="1">IFERROR(__xludf.DUMMYFUNCTION("""COMPUTED_VALUE"""),"NEELESH VERMA")</f>
        <v>NEELESH VERMA</v>
      </c>
    </row>
    <row r="393" spans="1:8">
      <c r="A393" s="10">
        <f ca="1">IFERROR(__xludf.DUMMYFUNCTION("""COMPUTED_VALUE"""),20)</f>
        <v>20</v>
      </c>
      <c r="B393" s="10" t="str">
        <f ca="1">IFERROR(__xludf.DUMMYFUNCTION("""COMPUTED_VALUE"""),"Sehore")</f>
        <v>Sehore</v>
      </c>
      <c r="C393" s="10" t="str">
        <f ca="1">IFERROR(__xludf.DUMMYFUNCTION("""COMPUTED_VALUE"""),"STATE BANK OF INDIA")</f>
        <v>STATE BANK OF INDIA</v>
      </c>
      <c r="D393" s="10">
        <f ca="1">IFERROR(__xludf.DUMMYFUNCTION("""COMPUTED_VALUE"""),1104323081)</f>
        <v>1104323081</v>
      </c>
      <c r="E393" s="12"/>
      <c r="F393" s="10"/>
      <c r="G393" s="10" t="str">
        <f ca="1">IFERROR(__xludf.DUMMYFUNCTION("""COMPUTED_VALUE"""),"B2C")</f>
        <v>B2C</v>
      </c>
      <c r="H393" s="10" t="str">
        <f ca="1">IFERROR(__xludf.DUMMYFUNCTION("""COMPUTED_VALUE"""),"NEELESH VERMA")</f>
        <v>NEELESH VERMA</v>
      </c>
    </row>
    <row r="394" spans="1:8">
      <c r="A394" s="10">
        <f ca="1">IFERROR(__xludf.DUMMYFUNCTION("""COMPUTED_VALUE"""),21)</f>
        <v>21</v>
      </c>
      <c r="B394" s="10" t="str">
        <f ca="1">IFERROR(__xludf.DUMMYFUNCTION("""COMPUTED_VALUE"""),"Sehore")</f>
        <v>Sehore</v>
      </c>
      <c r="C394" s="10" t="str">
        <f ca="1">IFERROR(__xludf.DUMMYFUNCTION("""COMPUTED_VALUE"""),"GP Sports")</f>
        <v>GP Sports</v>
      </c>
      <c r="D394" s="10">
        <f ca="1">IFERROR(__xludf.DUMMYFUNCTION("""COMPUTED_VALUE"""),1644312867)</f>
        <v>1644312867</v>
      </c>
      <c r="E394" s="12"/>
      <c r="F394" s="10"/>
      <c r="G394" s="10" t="str">
        <f ca="1">IFERROR(__xludf.DUMMYFUNCTION("""COMPUTED_VALUE"""),"B2C")</f>
        <v>B2C</v>
      </c>
      <c r="H394" s="10" t="str">
        <f ca="1">IFERROR(__xludf.DUMMYFUNCTION("""COMPUTED_VALUE"""),"NEELESH VERMA")</f>
        <v>NEELESH VERMA</v>
      </c>
    </row>
    <row r="395" spans="1:8">
      <c r="A395" s="10">
        <f ca="1">IFERROR(__xludf.DUMMYFUNCTION("""COMPUTED_VALUE"""),22)</f>
        <v>22</v>
      </c>
      <c r="B395" s="10" t="str">
        <f ca="1">IFERROR(__xludf.DUMMYFUNCTION("""COMPUTED_VALUE"""),"Sehore")</f>
        <v>Sehore</v>
      </c>
      <c r="C395" s="10" t="str">
        <f ca="1">IFERROR(__xludf.DUMMYFUNCTION("""COMPUTED_VALUE"""),"UNION BANK OF INDIA")</f>
        <v>UNION BANK OF INDIA</v>
      </c>
      <c r="D395" s="10">
        <f ca="1">IFERROR(__xludf.DUMMYFUNCTION("""COMPUTED_VALUE"""),1274543288)</f>
        <v>1274543288</v>
      </c>
      <c r="E395" s="12"/>
      <c r="F395" s="10"/>
      <c r="G395" s="10" t="str">
        <f ca="1">IFERROR(__xludf.DUMMYFUNCTION("""COMPUTED_VALUE"""),"B2C")</f>
        <v>B2C</v>
      </c>
      <c r="H395" s="10" t="str">
        <f ca="1">IFERROR(__xludf.DUMMYFUNCTION("""COMPUTED_VALUE"""),"NEELESH VERMA")</f>
        <v>NEELESH VERMA</v>
      </c>
    </row>
    <row r="396" spans="1:8">
      <c r="A396" s="10">
        <f ca="1">IFERROR(__xludf.DUMMYFUNCTION("""COMPUTED_VALUE"""),23)</f>
        <v>23</v>
      </c>
      <c r="B396" s="10" t="str">
        <f ca="1">IFERROR(__xludf.DUMMYFUNCTION("""COMPUTED_VALUE"""),"Sehore")</f>
        <v>Sehore</v>
      </c>
      <c r="C396" s="10" t="str">
        <f ca="1">IFERROR(__xludf.DUMMYFUNCTION("""COMPUTED_VALUE"""),"CHANDRAKANT TRIPATHI")</f>
        <v>CHANDRAKANT TRIPATHI</v>
      </c>
      <c r="D396" s="10">
        <f ca="1">IFERROR(__xludf.DUMMYFUNCTION("""COMPUTED_VALUE"""),1323187462)</f>
        <v>1323187462</v>
      </c>
      <c r="E396" s="12"/>
      <c r="F396" s="10"/>
      <c r="G396" s="10" t="str">
        <f ca="1">IFERROR(__xludf.DUMMYFUNCTION("""COMPUTED_VALUE"""),"B2C")</f>
        <v>B2C</v>
      </c>
      <c r="H396" s="10" t="str">
        <f ca="1">IFERROR(__xludf.DUMMYFUNCTION("""COMPUTED_VALUE"""),"NEELESH VERMA")</f>
        <v>NEELESH VERMA</v>
      </c>
    </row>
    <row r="397" spans="1:8">
      <c r="A397" s="10">
        <f ca="1">IFERROR(__xludf.DUMMYFUNCTION("""COMPUTED_VALUE"""),24)</f>
        <v>24</v>
      </c>
      <c r="B397" s="10" t="str">
        <f ca="1">IFERROR(__xludf.DUMMYFUNCTION("""COMPUTED_VALUE"""),"Sehore")</f>
        <v>Sehore</v>
      </c>
      <c r="C397" s="10" t="str">
        <f ca="1">IFERROR(__xludf.DUMMYFUNCTION("""COMPUTED_VALUE"""),"YOGESH MEWADE ADVOCATE")</f>
        <v>YOGESH MEWADE ADVOCATE</v>
      </c>
      <c r="D397" s="10">
        <f ca="1">IFERROR(__xludf.DUMMYFUNCTION("""COMPUTED_VALUE"""),1504263241)</f>
        <v>1504263241</v>
      </c>
      <c r="E397" s="12"/>
      <c r="F397" s="10"/>
      <c r="G397" s="10" t="str">
        <f ca="1">IFERROR(__xludf.DUMMYFUNCTION("""COMPUTED_VALUE"""),"B2C")</f>
        <v>B2C</v>
      </c>
      <c r="H397" s="10" t="str">
        <f ca="1">IFERROR(__xludf.DUMMYFUNCTION("""COMPUTED_VALUE"""),"NEELESH VERMA")</f>
        <v>NEELESH VERMA</v>
      </c>
    </row>
    <row r="398" spans="1:8">
      <c r="A398" s="10">
        <f ca="1">IFERROR(__xludf.DUMMYFUNCTION("""COMPUTED_VALUE"""),25)</f>
        <v>25</v>
      </c>
      <c r="B398" s="10" t="str">
        <f ca="1">IFERROR(__xludf.DUMMYFUNCTION("""COMPUTED_VALUE"""),"Sehore")</f>
        <v>Sehore</v>
      </c>
      <c r="C398" s="10" t="str">
        <f ca="1">IFERROR(__xludf.DUMMYFUNCTION("""COMPUTED_VALUE"""),"PUNJAB NATIONAL BANK")</f>
        <v>PUNJAB NATIONAL BANK</v>
      </c>
      <c r="D398" s="10">
        <f ca="1">IFERROR(__xludf.DUMMYFUNCTION("""COMPUTED_VALUE"""),1310679589)</f>
        <v>1310679589</v>
      </c>
      <c r="E398" s="12"/>
      <c r="F398" s="10"/>
      <c r="G398" s="10" t="str">
        <f ca="1">IFERROR(__xludf.DUMMYFUNCTION("""COMPUTED_VALUE"""),"B2C")</f>
        <v>B2C</v>
      </c>
      <c r="H398" s="10" t="str">
        <f ca="1">IFERROR(__xludf.DUMMYFUNCTION("""COMPUTED_VALUE"""),"NEELESH VERMA")</f>
        <v>NEELESH VERMA</v>
      </c>
    </row>
    <row r="399" spans="1:8">
      <c r="A399" s="10">
        <f ca="1">IFERROR(__xludf.DUMMYFUNCTION("""COMPUTED_VALUE"""),26)</f>
        <v>26</v>
      </c>
      <c r="B399" s="10" t="str">
        <f ca="1">IFERROR(__xludf.DUMMYFUNCTION("""COMPUTED_VALUE"""),"Sehore")</f>
        <v>Sehore</v>
      </c>
      <c r="C399" s="10" t="str">
        <f ca="1">IFERROR(__xludf.DUMMYFUNCTION("""COMPUTED_VALUE"""),"MADHUR COURIER SERVICE")</f>
        <v>MADHUR COURIER SERVICE</v>
      </c>
      <c r="D399" s="10">
        <f ca="1">IFERROR(__xludf.DUMMYFUNCTION("""COMPUTED_VALUE"""),1934552123)</f>
        <v>1934552123</v>
      </c>
      <c r="E399" s="12"/>
      <c r="F399" s="10"/>
      <c r="G399" s="10" t="str">
        <f ca="1">IFERROR(__xludf.DUMMYFUNCTION("""COMPUTED_VALUE"""),"B2C")</f>
        <v>B2C</v>
      </c>
      <c r="H399" s="10" t="str">
        <f ca="1">IFERROR(__xludf.DUMMYFUNCTION("""COMPUTED_VALUE"""),"RAJENDRA PUSHPAD")</f>
        <v>RAJENDRA PUSHPAD</v>
      </c>
    </row>
    <row r="400" spans="1:8">
      <c r="A400" s="10">
        <f ca="1">IFERROR(__xludf.DUMMYFUNCTION("""COMPUTED_VALUE"""),27)</f>
        <v>27</v>
      </c>
      <c r="B400" s="10" t="str">
        <f ca="1">IFERROR(__xludf.DUMMYFUNCTION("""COMPUTED_VALUE"""),"Sehore")</f>
        <v>Sehore</v>
      </c>
      <c r="C400" s="10" t="str">
        <f ca="1">IFERROR(__xludf.DUMMYFUNCTION("""COMPUTED_VALUE"""),"Rajan Law Chamber")</f>
        <v>Rajan Law Chamber</v>
      </c>
      <c r="D400" s="10">
        <f ca="1">IFERROR(__xludf.DUMMYFUNCTION("""COMPUTED_VALUE"""),1241491632)</f>
        <v>1241491632</v>
      </c>
      <c r="E400" s="12"/>
      <c r="F400" s="10"/>
      <c r="G400" s="10" t="str">
        <f ca="1">IFERROR(__xludf.DUMMYFUNCTION("""COMPUTED_VALUE"""),"B2C")</f>
        <v>B2C</v>
      </c>
      <c r="H400" s="10" t="str">
        <f ca="1">IFERROR(__xludf.DUMMYFUNCTION("""COMPUTED_VALUE"""),"NEELESH VERMA")</f>
        <v>NEELESH VERMA</v>
      </c>
    </row>
    <row r="401" spans="1:8">
      <c r="A401" s="10">
        <f ca="1">IFERROR(__xludf.DUMMYFUNCTION("""COMPUTED_VALUE"""),28)</f>
        <v>28</v>
      </c>
      <c r="B401" s="10" t="str">
        <f ca="1">IFERROR(__xludf.DUMMYFUNCTION("""COMPUTED_VALUE"""),"Sehore")</f>
        <v>Sehore</v>
      </c>
      <c r="C401" s="10" t="str">
        <f ca="1">IFERROR(__xludf.DUMMYFUNCTION("""COMPUTED_VALUE"""),"STATE BANK OF INDIA")</f>
        <v>STATE BANK OF INDIA</v>
      </c>
      <c r="D401" s="10">
        <f ca="1">IFERROR(__xludf.DUMMYFUNCTION("""COMPUTED_VALUE"""),1579065171)</f>
        <v>1579065171</v>
      </c>
      <c r="E401" s="12"/>
      <c r="F401" s="10"/>
      <c r="G401" s="10" t="str">
        <f ca="1">IFERROR(__xludf.DUMMYFUNCTION("""COMPUTED_VALUE"""),"B2C")</f>
        <v>B2C</v>
      </c>
      <c r="H401" s="10" t="str">
        <f ca="1">IFERROR(__xludf.DUMMYFUNCTION("""COMPUTED_VALUE"""),"HIMMAT SINGH")</f>
        <v>HIMMAT SINGH</v>
      </c>
    </row>
    <row r="402" spans="1:8">
      <c r="A402" s="10">
        <f ca="1">IFERROR(__xludf.DUMMYFUNCTION("""COMPUTED_VALUE"""),29)</f>
        <v>29</v>
      </c>
      <c r="B402" s="10" t="str">
        <f ca="1">IFERROR(__xludf.DUMMYFUNCTION("""COMPUTED_VALUE"""),"Sehore")</f>
        <v>Sehore</v>
      </c>
      <c r="C402" s="10" t="str">
        <f ca="1">IFERROR(__xludf.DUMMYFUNCTION("""COMPUTED_VALUE"""),"VIVEK COMPUTER")</f>
        <v>VIVEK COMPUTER</v>
      </c>
      <c r="D402" s="10">
        <f ca="1">IFERROR(__xludf.DUMMYFUNCTION("""COMPUTED_VALUE"""),1622054280)</f>
        <v>1622054280</v>
      </c>
      <c r="E402" s="12"/>
      <c r="F402" s="10"/>
      <c r="G402" s="10" t="str">
        <f ca="1">IFERROR(__xludf.DUMMYFUNCTION("""COMPUTED_VALUE"""),"B2C")</f>
        <v>B2C</v>
      </c>
      <c r="H402" s="10" t="str">
        <f ca="1">IFERROR(__xludf.DUMMYFUNCTION("""COMPUTED_VALUE"""),"RAJENDRA PUSHPAD")</f>
        <v>RAJENDRA PUSHPAD</v>
      </c>
    </row>
    <row r="403" spans="1:8">
      <c r="A403" s="10">
        <f ca="1">IFERROR(__xludf.DUMMYFUNCTION("""COMPUTED_VALUE"""),30)</f>
        <v>30</v>
      </c>
      <c r="B403" s="10" t="str">
        <f ca="1">IFERROR(__xludf.DUMMYFUNCTION("""COMPUTED_VALUE"""),"Sehore")</f>
        <v>Sehore</v>
      </c>
      <c r="C403" s="10" t="str">
        <f ca="1">IFERROR(__xludf.DUMMYFUNCTION("""COMPUTED_VALUE"""),"Supridentendent Of Police Sehore")</f>
        <v>Supridentendent Of Police Sehore</v>
      </c>
      <c r="D403" s="10">
        <f ca="1">IFERROR(__xludf.DUMMYFUNCTION("""COMPUTED_VALUE"""),1153177998)</f>
        <v>1153177998</v>
      </c>
      <c r="E403" s="12"/>
      <c r="F403" s="10"/>
      <c r="G403" s="10" t="str">
        <f ca="1">IFERROR(__xludf.DUMMYFUNCTION("""COMPUTED_VALUE"""),"B2C")</f>
        <v>B2C</v>
      </c>
      <c r="H403" s="10" t="str">
        <f ca="1">IFERROR(__xludf.DUMMYFUNCTION("""COMPUTED_VALUE"""),"HIMMAT SINGH")</f>
        <v>HIMMAT SINGH</v>
      </c>
    </row>
    <row r="404" spans="1:8">
      <c r="A404" s="10">
        <f ca="1">IFERROR(__xludf.DUMMYFUNCTION("""COMPUTED_VALUE"""),31)</f>
        <v>31</v>
      </c>
      <c r="B404" s="10" t="str">
        <f ca="1">IFERROR(__xludf.DUMMYFUNCTION("""COMPUTED_VALUE"""),"Sehore")</f>
        <v>Sehore</v>
      </c>
      <c r="C404" s="10" t="str">
        <f ca="1">IFERROR(__xludf.DUMMYFUNCTION("""COMPUTED_VALUE"""),"Punjab National Bank Naplakhedi")</f>
        <v>Punjab National Bank Naplakhedi</v>
      </c>
      <c r="D404" s="10">
        <f ca="1">IFERROR(__xludf.DUMMYFUNCTION("""COMPUTED_VALUE"""),1824088519)</f>
        <v>1824088519</v>
      </c>
      <c r="E404" s="12"/>
      <c r="F404" s="10"/>
      <c r="G404" s="10" t="str">
        <f ca="1">IFERROR(__xludf.DUMMYFUNCTION("""COMPUTED_VALUE"""),"B2C")</f>
        <v>B2C</v>
      </c>
      <c r="H404" s="10" t="str">
        <f ca="1">IFERROR(__xludf.DUMMYFUNCTION("""COMPUTED_VALUE"""),"HIMMAT SINGH")</f>
        <v>HIMMAT SINGH</v>
      </c>
    </row>
    <row r="405" spans="1:8">
      <c r="A405" s="10">
        <f ca="1">IFERROR(__xludf.DUMMYFUNCTION("""COMPUTED_VALUE"""),32)</f>
        <v>32</v>
      </c>
      <c r="B405" s="10" t="str">
        <f ca="1">IFERROR(__xludf.DUMMYFUNCTION("""COMPUTED_VALUE"""),"Sehore")</f>
        <v>Sehore</v>
      </c>
      <c r="C405" s="10" t="str">
        <f ca="1">IFERROR(__xludf.DUMMYFUNCTION("""COMPUTED_VALUE"""),"JILA SHKARI KENDRIYA BANK")</f>
        <v>JILA SHKARI KENDRIYA BANK</v>
      </c>
      <c r="D405" s="10">
        <f ca="1">IFERROR(__xludf.DUMMYFUNCTION("""COMPUTED_VALUE"""),1744255543)</f>
        <v>1744255543</v>
      </c>
      <c r="E405" s="12"/>
      <c r="F405" s="10"/>
      <c r="G405" s="10" t="str">
        <f ca="1">IFERROR(__xludf.DUMMYFUNCTION("""COMPUTED_VALUE"""),"B2C")</f>
        <v>B2C</v>
      </c>
      <c r="H405" s="10" t="str">
        <f ca="1">IFERROR(__xludf.DUMMYFUNCTION("""COMPUTED_VALUE"""),"RAJENDRA PUSHPAD")</f>
        <v>RAJENDRA PUSHPAD</v>
      </c>
    </row>
    <row r="406" spans="1:8">
      <c r="A406" s="10">
        <f ca="1">IFERROR(__xludf.DUMMYFUNCTION("""COMPUTED_VALUE"""),33)</f>
        <v>33</v>
      </c>
      <c r="B406" s="10" t="str">
        <f ca="1">IFERROR(__xludf.DUMMYFUNCTION("""COMPUTED_VALUE"""),"Sehore")</f>
        <v>Sehore</v>
      </c>
      <c r="C406" s="10" t="str">
        <f ca="1">IFERROR(__xludf.DUMMYFUNCTION("""COMPUTED_VALUE"""),"Bank Of Baroda Sehore")</f>
        <v>Bank Of Baroda Sehore</v>
      </c>
      <c r="D406" s="10">
        <f ca="1">IFERROR(__xludf.DUMMYFUNCTION("""COMPUTED_VALUE"""),1665246320)</f>
        <v>1665246320</v>
      </c>
      <c r="E406" s="12"/>
      <c r="F406" s="10"/>
      <c r="G406" s="10" t="str">
        <f ca="1">IFERROR(__xludf.DUMMYFUNCTION("""COMPUTED_VALUE"""),"B2C")</f>
        <v>B2C</v>
      </c>
      <c r="H406" s="10" t="str">
        <f ca="1">IFERROR(__xludf.DUMMYFUNCTION("""COMPUTED_VALUE"""),"HIMMAT SINGH")</f>
        <v>HIMMAT SINGH</v>
      </c>
    </row>
    <row r="407" spans="1:8">
      <c r="A407" s="10">
        <f ca="1">IFERROR(__xludf.DUMMYFUNCTION("""COMPUTED_VALUE"""),34)</f>
        <v>34</v>
      </c>
      <c r="B407" s="10" t="str">
        <f ca="1">IFERROR(__xludf.DUMMYFUNCTION("""COMPUTED_VALUE"""),"Sehore")</f>
        <v>Sehore</v>
      </c>
      <c r="C407" s="10" t="str">
        <f ca="1">IFERROR(__xludf.DUMMYFUNCTION("""COMPUTED_VALUE"""),"Jitesh kumar Godani")</f>
        <v>Jitesh kumar Godani</v>
      </c>
      <c r="D407" s="10">
        <f ca="1">IFERROR(__xludf.DUMMYFUNCTION("""COMPUTED_VALUE"""),1236637250)</f>
        <v>1236637250</v>
      </c>
      <c r="E407" s="12"/>
      <c r="F407" s="10"/>
      <c r="G407" s="10" t="str">
        <f ca="1">IFERROR(__xludf.DUMMYFUNCTION("""COMPUTED_VALUE"""),"B2C")</f>
        <v>B2C</v>
      </c>
      <c r="H407" s="10" t="str">
        <f ca="1">IFERROR(__xludf.DUMMYFUNCTION("""COMPUTED_VALUE"""),"HIMMAT SINGH")</f>
        <v>HIMMAT SINGH</v>
      </c>
    </row>
    <row r="408" spans="1:8">
      <c r="A408" s="10">
        <f ca="1">IFERROR(__xludf.DUMMYFUNCTION("""COMPUTED_VALUE"""),35)</f>
        <v>35</v>
      </c>
      <c r="B408" s="10" t="str">
        <f ca="1">IFERROR(__xludf.DUMMYFUNCTION("""COMPUTED_VALUE"""),"Sehore")</f>
        <v>Sehore</v>
      </c>
      <c r="C408" s="10" t="str">
        <f ca="1">IFERROR(__xludf.DUMMYFUNCTION("""COMPUTED_VALUE"""),"Punjab National Bank, Main Branch Bus stand, Sehore")</f>
        <v>Punjab National Bank, Main Branch Bus stand, Sehore</v>
      </c>
      <c r="D408" s="10">
        <f ca="1">IFERROR(__xludf.DUMMYFUNCTION("""COMPUTED_VALUE"""),1658132637)</f>
        <v>1658132637</v>
      </c>
      <c r="E408" s="12"/>
      <c r="F408" s="10"/>
      <c r="G408" s="10" t="str">
        <f ca="1">IFERROR(__xludf.DUMMYFUNCTION("""COMPUTED_VALUE"""),"B2C")</f>
        <v>B2C</v>
      </c>
      <c r="H408" s="10" t="str">
        <f ca="1">IFERROR(__xludf.DUMMYFUNCTION("""COMPUTED_VALUE"""),"HIMMAT SINGH")</f>
        <v>HIMMAT SINGH</v>
      </c>
    </row>
    <row r="409" spans="1:8">
      <c r="A409" s="10">
        <f ca="1">IFERROR(__xludf.DUMMYFUNCTION("""COMPUTED_VALUE"""),36)</f>
        <v>36</v>
      </c>
      <c r="B409" s="10" t="str">
        <f ca="1">IFERROR(__xludf.DUMMYFUNCTION("""COMPUTED_VALUE"""),"Sehore")</f>
        <v>Sehore</v>
      </c>
      <c r="C409" s="10" t="str">
        <f ca="1">IFERROR(__xludf.DUMMYFUNCTION("""COMPUTED_VALUE"""),"Mahila kisan crop producer company limited")</f>
        <v>Mahila kisan crop producer company limited</v>
      </c>
      <c r="D409" s="10">
        <f ca="1">IFERROR(__xludf.DUMMYFUNCTION("""COMPUTED_VALUE"""),1957351676)</f>
        <v>1957351676</v>
      </c>
      <c r="E409" s="12"/>
      <c r="F409" s="10"/>
      <c r="G409" s="10" t="str">
        <f ca="1">IFERROR(__xludf.DUMMYFUNCTION("""COMPUTED_VALUE"""),"B2C")</f>
        <v>B2C</v>
      </c>
      <c r="H409" s="10" t="str">
        <f ca="1">IFERROR(__xludf.DUMMYFUNCTION("""COMPUTED_VALUE"""),"HIMMAT SINGH")</f>
        <v>HIMMAT SINGH</v>
      </c>
    </row>
    <row r="410" spans="1:8">
      <c r="A410" s="10">
        <f ca="1">IFERROR(__xludf.DUMMYFUNCTION("""COMPUTED_VALUE"""),37)</f>
        <v>37</v>
      </c>
      <c r="B410" s="10" t="str">
        <f ca="1">IFERROR(__xludf.DUMMYFUNCTION("""COMPUTED_VALUE"""),"Sehore")</f>
        <v>Sehore</v>
      </c>
      <c r="C410" s="10" t="str">
        <f ca="1">IFERROR(__xludf.DUMMYFUNCTION("""COMPUTED_VALUE"""),"Heeramani Nagar Ajivika Rural mart")</f>
        <v>Heeramani Nagar Ajivika Rural mart</v>
      </c>
      <c r="D410" s="10">
        <f ca="1">IFERROR(__xludf.DUMMYFUNCTION("""COMPUTED_VALUE"""),1645351505)</f>
        <v>1645351505</v>
      </c>
      <c r="E410" s="12"/>
      <c r="F410" s="10"/>
      <c r="G410" s="10" t="str">
        <f ca="1">IFERROR(__xludf.DUMMYFUNCTION("""COMPUTED_VALUE"""),"B2C")</f>
        <v>B2C</v>
      </c>
      <c r="H410" s="10" t="str">
        <f ca="1">IFERROR(__xludf.DUMMYFUNCTION("""COMPUTED_VALUE"""),"HIMMAT SINGH")</f>
        <v>HIMMAT SINGH</v>
      </c>
    </row>
    <row r="411" spans="1:8">
      <c r="A411" s="10">
        <f ca="1">IFERROR(__xludf.DUMMYFUNCTION("""COMPUTED_VALUE"""),38)</f>
        <v>38</v>
      </c>
      <c r="B411" s="10" t="str">
        <f ca="1">IFERROR(__xludf.DUMMYFUNCTION("""COMPUTED_VALUE"""),"Sehore")</f>
        <v>Sehore</v>
      </c>
      <c r="C411" s="10" t="str">
        <f ca="1">IFERROR(__xludf.DUMMYFUNCTION("""COMPUTED_VALUE"""),"UCO BANK")</f>
        <v>UCO BANK</v>
      </c>
      <c r="D411" s="10">
        <f ca="1">IFERROR(__xludf.DUMMYFUNCTION("""COMPUTED_VALUE"""),1667095070)</f>
        <v>1667095070</v>
      </c>
      <c r="E411" s="12"/>
      <c r="F411" s="10"/>
      <c r="G411" s="10" t="str">
        <f ca="1">IFERROR(__xludf.DUMMYFUNCTION("""COMPUTED_VALUE"""),"B2C")</f>
        <v>B2C</v>
      </c>
      <c r="H411" s="10" t="str">
        <f ca="1">IFERROR(__xludf.DUMMYFUNCTION("""COMPUTED_VALUE"""),"RAJENDRA PUSHPAD")</f>
        <v>RAJENDRA PUSHPAD</v>
      </c>
    </row>
    <row r="412" spans="1:8">
      <c r="A412" s="10">
        <f ca="1">IFERROR(__xludf.DUMMYFUNCTION("""COMPUTED_VALUE"""),39)</f>
        <v>39</v>
      </c>
      <c r="B412" s="10" t="str">
        <f ca="1">IFERROR(__xludf.DUMMYFUNCTION("""COMPUTED_VALUE"""),"Sehore")</f>
        <v>Sehore</v>
      </c>
      <c r="C412" s="10" t="str">
        <f ca="1">IFERROR(__xludf.DUMMYFUNCTION("""COMPUTED_VALUE"""),"STATE BANK OF INDIA")</f>
        <v>STATE BANK OF INDIA</v>
      </c>
      <c r="D412" s="10">
        <f ca="1">IFERROR(__xludf.DUMMYFUNCTION("""COMPUTED_VALUE"""),1250665567)</f>
        <v>1250665567</v>
      </c>
      <c r="E412" s="12"/>
      <c r="F412" s="10"/>
      <c r="G412" s="10" t="str">
        <f ca="1">IFERROR(__xludf.DUMMYFUNCTION("""COMPUTED_VALUE"""),"B2C")</f>
        <v>B2C</v>
      </c>
      <c r="H412" s="10" t="str">
        <f ca="1">IFERROR(__xludf.DUMMYFUNCTION("""COMPUTED_VALUE"""),"RAJENDRA PUSHPAD")</f>
        <v>RAJENDRA PUSHPAD</v>
      </c>
    </row>
    <row r="413" spans="1:8">
      <c r="A413" s="10">
        <f ca="1">IFERROR(__xludf.DUMMYFUNCTION("""COMPUTED_VALUE"""),40)</f>
        <v>40</v>
      </c>
      <c r="B413" s="10" t="str">
        <f ca="1">IFERROR(__xludf.DUMMYFUNCTION("""COMPUTED_VALUE"""),"Sehore")</f>
        <v>Sehore</v>
      </c>
      <c r="C413" s="10" t="str">
        <f ca="1">IFERROR(__xludf.DUMMYFUNCTION("""COMPUTED_VALUE"""),"Babita Thakur Lakshya Collection")</f>
        <v>Babita Thakur Lakshya Collection</v>
      </c>
      <c r="D413" s="10">
        <f ca="1">IFERROR(__xludf.DUMMYFUNCTION("""COMPUTED_VALUE"""),1287920682)</f>
        <v>1287920682</v>
      </c>
      <c r="E413" s="12"/>
      <c r="F413" s="10"/>
      <c r="G413" s="10" t="str">
        <f ca="1">IFERROR(__xludf.DUMMYFUNCTION("""COMPUTED_VALUE"""),"B2C")</f>
        <v>B2C</v>
      </c>
      <c r="H413" s="10" t="str">
        <f ca="1">IFERROR(__xludf.DUMMYFUNCTION("""COMPUTED_VALUE"""),"HIMMAT SINGH")</f>
        <v>HIMMAT SINGH</v>
      </c>
    </row>
    <row r="414" spans="1:8">
      <c r="A414" s="10">
        <f ca="1">IFERROR(__xludf.DUMMYFUNCTION("""COMPUTED_VALUE"""),41)</f>
        <v>41</v>
      </c>
      <c r="B414" s="10" t="str">
        <f ca="1">IFERROR(__xludf.DUMMYFUNCTION("""COMPUTED_VALUE"""),"Sehore")</f>
        <v>Sehore</v>
      </c>
      <c r="C414" s="10" t="str">
        <f ca="1">IFERROR(__xludf.DUMMYFUNCTION("""COMPUTED_VALUE"""),"Central Silver Plant Sehore")</f>
        <v>Central Silver Plant Sehore</v>
      </c>
      <c r="D414" s="10">
        <f ca="1">IFERROR(__xludf.DUMMYFUNCTION("""COMPUTED_VALUE"""),1974529084)</f>
        <v>1974529084</v>
      </c>
      <c r="E414" s="12"/>
      <c r="F414" s="10"/>
      <c r="G414" s="10" t="str">
        <f ca="1">IFERROR(__xludf.DUMMYFUNCTION("""COMPUTED_VALUE"""),"B2C")</f>
        <v>B2C</v>
      </c>
      <c r="H414" s="10" t="str">
        <f ca="1">IFERROR(__xludf.DUMMYFUNCTION("""COMPUTED_VALUE"""),"HIMMAT SINGH")</f>
        <v>HIMMAT SINGH</v>
      </c>
    </row>
    <row r="415" spans="1:8">
      <c r="A415" s="10">
        <f ca="1">IFERROR(__xludf.DUMMYFUNCTION("""COMPUTED_VALUE"""),42)</f>
        <v>42</v>
      </c>
      <c r="B415" s="10" t="str">
        <f ca="1">IFERROR(__xludf.DUMMYFUNCTION("""COMPUTED_VALUE"""),"Sehore")</f>
        <v>Sehore</v>
      </c>
      <c r="C415" s="10" t="str">
        <f ca="1">IFERROR(__xludf.DUMMYFUNCTION("""COMPUTED_VALUE"""),"Anil Kumar Sen")</f>
        <v>Anil Kumar Sen</v>
      </c>
      <c r="D415" s="10">
        <f ca="1">IFERROR(__xludf.DUMMYFUNCTION("""COMPUTED_VALUE"""),1816193768)</f>
        <v>1816193768</v>
      </c>
      <c r="E415" s="12"/>
      <c r="F415" s="10"/>
      <c r="G415" s="10" t="str">
        <f ca="1">IFERROR(__xludf.DUMMYFUNCTION("""COMPUTED_VALUE"""),"B2C")</f>
        <v>B2C</v>
      </c>
      <c r="H415" s="10" t="str">
        <f ca="1">IFERROR(__xludf.DUMMYFUNCTION("""COMPUTED_VALUE"""),"HIMMAT SINGH")</f>
        <v>HIMMAT SINGH</v>
      </c>
    </row>
    <row r="416" spans="1:8">
      <c r="A416" s="10">
        <f ca="1">IFERROR(__xludf.DUMMYFUNCTION("""COMPUTED_VALUE"""),43)</f>
        <v>43</v>
      </c>
      <c r="B416" s="10" t="str">
        <f ca="1">IFERROR(__xludf.DUMMYFUNCTION("""COMPUTED_VALUE"""),"Sehore")</f>
        <v>Sehore</v>
      </c>
      <c r="C416" s="10" t="str">
        <f ca="1">IFERROR(__xludf.DUMMYFUNCTION("""COMPUTED_VALUE"""),"Devrishi Gohiya")</f>
        <v>Devrishi Gohiya</v>
      </c>
      <c r="D416" s="10">
        <f ca="1">IFERROR(__xludf.DUMMYFUNCTION("""COMPUTED_VALUE"""),1700805819)</f>
        <v>1700805819</v>
      </c>
      <c r="E416" s="12"/>
      <c r="F416" s="10"/>
      <c r="G416" s="10" t="str">
        <f ca="1">IFERROR(__xludf.DUMMYFUNCTION("""COMPUTED_VALUE"""),"B2C")</f>
        <v>B2C</v>
      </c>
      <c r="H416" s="10" t="str">
        <f ca="1">IFERROR(__xludf.DUMMYFUNCTION("""COMPUTED_VALUE"""),"HIMMAT SINGH")</f>
        <v>HIMMAT SINGH</v>
      </c>
    </row>
    <row r="417" spans="1:8">
      <c r="A417" s="10">
        <f ca="1">IFERROR(__xludf.DUMMYFUNCTION("""COMPUTED_VALUE"""),44)</f>
        <v>44</v>
      </c>
      <c r="B417" s="10" t="str">
        <f ca="1">IFERROR(__xludf.DUMMYFUNCTION("""COMPUTED_VALUE"""),"Sehore")</f>
        <v>Sehore</v>
      </c>
      <c r="C417" s="10" t="str">
        <f ca="1">IFERROR(__xludf.DUMMYFUNCTION("""COMPUTED_VALUE"""),"Sachin Khandelwal")</f>
        <v>Sachin Khandelwal</v>
      </c>
      <c r="D417" s="10">
        <f ca="1">IFERROR(__xludf.DUMMYFUNCTION("""COMPUTED_VALUE"""),1314479396)</f>
        <v>1314479396</v>
      </c>
      <c r="E417" s="12"/>
      <c r="F417" s="10"/>
      <c r="G417" s="10" t="str">
        <f ca="1">IFERROR(__xludf.DUMMYFUNCTION("""COMPUTED_VALUE"""),"B2C")</f>
        <v>B2C</v>
      </c>
      <c r="H417" s="10" t="str">
        <f ca="1">IFERROR(__xludf.DUMMYFUNCTION("""COMPUTED_VALUE"""),"HIMMAT SINGH")</f>
        <v>HIMMAT SINGH</v>
      </c>
    </row>
    <row r="418" spans="1:8">
      <c r="A418" s="10">
        <f ca="1">IFERROR(__xludf.DUMMYFUNCTION("""COMPUTED_VALUE"""),45)</f>
        <v>45</v>
      </c>
      <c r="B418" s="10" t="str">
        <f ca="1">IFERROR(__xludf.DUMMYFUNCTION("""COMPUTED_VALUE"""),"Sehore")</f>
        <v>Sehore</v>
      </c>
      <c r="C418" s="10" t="str">
        <f ca="1">IFERROR(__xludf.DUMMYFUNCTION("""COMPUTED_VALUE"""),"Bhagwan Singh Meena")</f>
        <v>Bhagwan Singh Meena</v>
      </c>
      <c r="D418" s="10">
        <f ca="1">IFERROR(__xludf.DUMMYFUNCTION("""COMPUTED_VALUE"""),1833097435)</f>
        <v>1833097435</v>
      </c>
      <c r="E418" s="12"/>
      <c r="F418" s="10"/>
      <c r="G418" s="10" t="str">
        <f ca="1">IFERROR(__xludf.DUMMYFUNCTION("""COMPUTED_VALUE"""),"B2C")</f>
        <v>B2C</v>
      </c>
      <c r="H418" s="10" t="str">
        <f ca="1">IFERROR(__xludf.DUMMYFUNCTION("""COMPUTED_VALUE"""),"HIMMAT SINGH")</f>
        <v>HIMMAT SINGH</v>
      </c>
    </row>
    <row r="419" spans="1:8">
      <c r="A419" s="10">
        <f ca="1">IFERROR(__xludf.DUMMYFUNCTION("""COMPUTED_VALUE"""),46)</f>
        <v>46</v>
      </c>
      <c r="B419" s="10" t="str">
        <f ca="1">IFERROR(__xludf.DUMMYFUNCTION("""COMPUTED_VALUE"""),"Sehore")</f>
        <v>Sehore</v>
      </c>
      <c r="C419" s="10" t="str">
        <f ca="1">IFERROR(__xludf.DUMMYFUNCTION("""COMPUTED_VALUE"""),"Krishna Chouhan")</f>
        <v>Krishna Chouhan</v>
      </c>
      <c r="D419" s="10">
        <f ca="1">IFERROR(__xludf.DUMMYFUNCTION("""COMPUTED_VALUE"""),1114720853)</f>
        <v>1114720853</v>
      </c>
      <c r="E419" s="12"/>
      <c r="F419" s="10"/>
      <c r="G419" s="10" t="str">
        <f ca="1">IFERROR(__xludf.DUMMYFUNCTION("""COMPUTED_VALUE"""),"B2C")</f>
        <v>B2C</v>
      </c>
      <c r="H419" s="10" t="str">
        <f ca="1">IFERROR(__xludf.DUMMYFUNCTION("""COMPUTED_VALUE"""),"HIMMAT SINGH")</f>
        <v>HIMMAT SINGH</v>
      </c>
    </row>
    <row r="420" spans="1:8">
      <c r="A420" s="10">
        <f ca="1">IFERROR(__xludf.DUMMYFUNCTION("""COMPUTED_VALUE"""),47)</f>
        <v>47</v>
      </c>
      <c r="B420" s="10" t="str">
        <f ca="1">IFERROR(__xludf.DUMMYFUNCTION("""COMPUTED_VALUE"""),"Sehore")</f>
        <v>Sehore</v>
      </c>
      <c r="C420" s="10" t="str">
        <f ca="1">IFERROR(__xludf.DUMMYFUNCTION("""COMPUTED_VALUE"""),"Dilip kumar rathore prem mobile")</f>
        <v>Dilip kumar rathore prem mobile</v>
      </c>
      <c r="D420" s="10">
        <f ca="1">IFERROR(__xludf.DUMMYFUNCTION("""COMPUTED_VALUE"""),1591877337)</f>
        <v>1591877337</v>
      </c>
      <c r="E420" s="12"/>
      <c r="F420" s="10"/>
      <c r="G420" s="10" t="str">
        <f ca="1">IFERROR(__xludf.DUMMYFUNCTION("""COMPUTED_VALUE"""),"B2C")</f>
        <v>B2C</v>
      </c>
      <c r="H420" s="10" t="str">
        <f ca="1">IFERROR(__xludf.DUMMYFUNCTION("""COMPUTED_VALUE"""),"HIMMAT SINGH")</f>
        <v>HIMMAT SINGH</v>
      </c>
    </row>
    <row r="421" spans="1:8">
      <c r="A421" s="10">
        <f ca="1">IFERROR(__xludf.DUMMYFUNCTION("""COMPUTED_VALUE"""),48)</f>
        <v>48</v>
      </c>
      <c r="B421" s="10" t="str">
        <f ca="1">IFERROR(__xludf.DUMMYFUNCTION("""COMPUTED_VALUE"""),"Sehore")</f>
        <v>Sehore</v>
      </c>
      <c r="C421" s="10" t="str">
        <f ca="1">IFERROR(__xludf.DUMMYFUNCTION("""COMPUTED_VALUE"""),"RAJGHARANA RAJPUTI POSHAK")</f>
        <v>RAJGHARANA RAJPUTI POSHAK</v>
      </c>
      <c r="D421" s="10">
        <f ca="1">IFERROR(__xludf.DUMMYFUNCTION("""COMPUTED_VALUE"""),1358532192)</f>
        <v>1358532192</v>
      </c>
      <c r="E421" s="12"/>
      <c r="F421" s="10"/>
      <c r="G421" s="10" t="str">
        <f ca="1">IFERROR(__xludf.DUMMYFUNCTION("""COMPUTED_VALUE"""),"B2C")</f>
        <v>B2C</v>
      </c>
      <c r="H421" s="10" t="str">
        <f ca="1">IFERROR(__xludf.DUMMYFUNCTION("""COMPUTED_VALUE"""),"RAJENDRA PUSHPAD")</f>
        <v>RAJENDRA PUSHPAD</v>
      </c>
    </row>
    <row r="422" spans="1:8">
      <c r="A422" s="10">
        <f ca="1">IFERROR(__xludf.DUMMYFUNCTION("""COMPUTED_VALUE"""),49)</f>
        <v>49</v>
      </c>
      <c r="B422" s="10" t="str">
        <f ca="1">IFERROR(__xludf.DUMMYFUNCTION("""COMPUTED_VALUE"""),"Sehore")</f>
        <v>Sehore</v>
      </c>
      <c r="C422" s="10" t="str">
        <f ca="1">IFERROR(__xludf.DUMMYFUNCTION("""COMPUTED_VALUE"""),"NUTRAACELLS PRIVATE LIMITED")</f>
        <v>NUTRAACELLS PRIVATE LIMITED</v>
      </c>
      <c r="D422" s="10">
        <f ca="1">IFERROR(__xludf.DUMMYFUNCTION("""COMPUTED_VALUE"""),1472380166)</f>
        <v>1472380166</v>
      </c>
      <c r="E422" s="12"/>
      <c r="F422" s="10"/>
      <c r="G422" s="10" t="str">
        <f ca="1">IFERROR(__xludf.DUMMYFUNCTION("""COMPUTED_VALUE"""),"B2C")</f>
        <v>B2C</v>
      </c>
      <c r="H422" s="10" t="str">
        <f ca="1">IFERROR(__xludf.DUMMYFUNCTION("""COMPUTED_VALUE"""),"HIMMAT SINGH")</f>
        <v>HIMMAT SINGH</v>
      </c>
    </row>
    <row r="423" spans="1:8">
      <c r="A423" s="10">
        <f ca="1">IFERROR(__xludf.DUMMYFUNCTION("""COMPUTED_VALUE"""),50)</f>
        <v>50</v>
      </c>
      <c r="B423" s="10" t="str">
        <f ca="1">IFERROR(__xludf.DUMMYFUNCTION("""COMPUTED_VALUE"""),"Sehore")</f>
        <v>Sehore</v>
      </c>
      <c r="C423" s="10" t="str">
        <f ca="1">IFERROR(__xludf.DUMMYFUNCTION("""COMPUTED_VALUE"""),"S S Marketing")</f>
        <v>S S Marketing</v>
      </c>
      <c r="D423" s="10">
        <f ca="1">IFERROR(__xludf.DUMMYFUNCTION("""COMPUTED_VALUE"""),1282864813)</f>
        <v>1282864813</v>
      </c>
      <c r="E423" s="12"/>
      <c r="F423" s="10"/>
      <c r="G423" s="10" t="str">
        <f ca="1">IFERROR(__xludf.DUMMYFUNCTION("""COMPUTED_VALUE"""),"B2C")</f>
        <v>B2C</v>
      </c>
      <c r="H423" s="10" t="str">
        <f ca="1">IFERROR(__xludf.DUMMYFUNCTION("""COMPUTED_VALUE"""),"HIMMAT SINGH")</f>
        <v>HIMMAT SINGH</v>
      </c>
    </row>
    <row r="424" spans="1:8">
      <c r="A424" s="10">
        <f ca="1">IFERROR(__xludf.DUMMYFUNCTION("""COMPUTED_VALUE"""),51)</f>
        <v>51</v>
      </c>
      <c r="B424" s="10" t="str">
        <f ca="1">IFERROR(__xludf.DUMMYFUNCTION("""COMPUTED_VALUE"""),"Sehore")</f>
        <v>Sehore</v>
      </c>
      <c r="C424" s="10" t="str">
        <f ca="1">IFERROR(__xludf.DUMMYFUNCTION("""COMPUTED_VALUE"""),"Acharya Pt. Amit Tiwari")</f>
        <v>Acharya Pt. Amit Tiwari</v>
      </c>
      <c r="D424" s="10">
        <f ca="1">IFERROR(__xludf.DUMMYFUNCTION("""COMPUTED_VALUE"""),1447969033)</f>
        <v>1447969033</v>
      </c>
      <c r="E424" s="12"/>
      <c r="F424" s="10"/>
      <c r="G424" s="10" t="str">
        <f ca="1">IFERROR(__xludf.DUMMYFUNCTION("""COMPUTED_VALUE"""),"B2C")</f>
        <v>B2C</v>
      </c>
      <c r="H424" s="10" t="str">
        <f ca="1">IFERROR(__xludf.DUMMYFUNCTION("""COMPUTED_VALUE"""),"HIMMAT SINGH")</f>
        <v>HIMMAT SINGH</v>
      </c>
    </row>
    <row r="425" spans="1:8">
      <c r="A425" s="10">
        <f ca="1">IFERROR(__xludf.DUMMYFUNCTION("""COMPUTED_VALUE"""),52)</f>
        <v>52</v>
      </c>
      <c r="B425" s="10" t="str">
        <f ca="1">IFERROR(__xludf.DUMMYFUNCTION("""COMPUTED_VALUE"""),"Sehore")</f>
        <v>Sehore</v>
      </c>
      <c r="C425" s="10" t="str">
        <f ca="1">IFERROR(__xludf.DUMMYFUNCTION("""COMPUTED_VALUE"""),"DINESH GUPTA")</f>
        <v>DINESH GUPTA</v>
      </c>
      <c r="D425" s="10">
        <f ca="1">IFERROR(__xludf.DUMMYFUNCTION("""COMPUTED_VALUE"""),1157115823)</f>
        <v>1157115823</v>
      </c>
      <c r="E425" s="12"/>
      <c r="F425" s="10"/>
      <c r="G425" s="10" t="str">
        <f ca="1">IFERROR(__xludf.DUMMYFUNCTION("""COMPUTED_VALUE"""),"B2C")</f>
        <v>B2C</v>
      </c>
      <c r="H425" s="10" t="str">
        <f ca="1">IFERROR(__xludf.DUMMYFUNCTION("""COMPUTED_VALUE"""),"RAJENDRA PUSHPAD")</f>
        <v>RAJENDRA PUSHPAD</v>
      </c>
    </row>
    <row r="426" spans="1:8">
      <c r="A426" s="10">
        <f ca="1">IFERROR(__xludf.DUMMYFUNCTION("""COMPUTED_VALUE"""),53)</f>
        <v>53</v>
      </c>
      <c r="B426" s="10" t="str">
        <f ca="1">IFERROR(__xludf.DUMMYFUNCTION("""COMPUTED_VALUE"""),"Sehore")</f>
        <v>Sehore</v>
      </c>
      <c r="C426" s="10" t="str">
        <f ca="1">IFERROR(__xludf.DUMMYFUNCTION("""COMPUTED_VALUE"""),"State Bank of India ACB Branch Sehore")</f>
        <v>State Bank of India ACB Branch Sehore</v>
      </c>
      <c r="D426" s="10">
        <f ca="1">IFERROR(__xludf.DUMMYFUNCTION("""COMPUTED_VALUE"""),1174952604)</f>
        <v>1174952604</v>
      </c>
      <c r="E426" s="12"/>
      <c r="F426" s="10"/>
      <c r="G426" s="10" t="str">
        <f ca="1">IFERROR(__xludf.DUMMYFUNCTION("""COMPUTED_VALUE"""),"B2C")</f>
        <v>B2C</v>
      </c>
      <c r="H426" s="10" t="str">
        <f ca="1">IFERROR(__xludf.DUMMYFUNCTION("""COMPUTED_VALUE"""),"HIMMAT SINGH")</f>
        <v>HIMMAT SINGH</v>
      </c>
    </row>
    <row r="427" spans="1:8">
      <c r="A427" s="10">
        <f ca="1">IFERROR(__xludf.DUMMYFUNCTION("""COMPUTED_VALUE"""),54)</f>
        <v>54</v>
      </c>
      <c r="B427" s="10" t="str">
        <f ca="1">IFERROR(__xludf.DUMMYFUNCTION("""COMPUTED_VALUE"""),"Sehore")</f>
        <v>Sehore</v>
      </c>
      <c r="C427" s="10" t="str">
        <f ca="1">IFERROR(__xludf.DUMMYFUNCTION("""COMPUTED_VALUE"""),"Jila Sahakari Kendriya Bank mydt Sehore")</f>
        <v>Jila Sahakari Kendriya Bank mydt Sehore</v>
      </c>
      <c r="D427" s="10">
        <f ca="1">IFERROR(__xludf.DUMMYFUNCTION("""COMPUTED_VALUE"""),1509947583)</f>
        <v>1509947583</v>
      </c>
      <c r="E427" s="12"/>
      <c r="F427" s="10"/>
      <c r="G427" s="10" t="str">
        <f ca="1">IFERROR(__xludf.DUMMYFUNCTION("""COMPUTED_VALUE"""),"B2C")</f>
        <v>B2C</v>
      </c>
      <c r="H427" s="10" t="str">
        <f ca="1">IFERROR(__xludf.DUMMYFUNCTION("""COMPUTED_VALUE"""),"HIMMAT SINGH")</f>
        <v>HIMMAT SINGH</v>
      </c>
    </row>
    <row r="428" spans="1:8">
      <c r="A428" s="10">
        <f ca="1">IFERROR(__xludf.DUMMYFUNCTION("""COMPUTED_VALUE"""),55)</f>
        <v>55</v>
      </c>
      <c r="B428" s="10" t="str">
        <f ca="1">IFERROR(__xludf.DUMMYFUNCTION("""COMPUTED_VALUE"""),"Sehore")</f>
        <v>Sehore</v>
      </c>
      <c r="C428" s="10" t="str">
        <f ca="1">IFERROR(__xludf.DUMMYFUNCTION("""COMPUTED_VALUE"""),"Punjab National Bank E OBC")</f>
        <v>Punjab National Bank E OBC</v>
      </c>
      <c r="D428" s="10">
        <f ca="1">IFERROR(__xludf.DUMMYFUNCTION("""COMPUTED_VALUE"""),1294827691)</f>
        <v>1294827691</v>
      </c>
      <c r="E428" s="12"/>
      <c r="F428" s="10"/>
      <c r="G428" s="10" t="str">
        <f ca="1">IFERROR(__xludf.DUMMYFUNCTION("""COMPUTED_VALUE"""),"B2C")</f>
        <v>B2C</v>
      </c>
      <c r="H428" s="10" t="str">
        <f ca="1">IFERROR(__xludf.DUMMYFUNCTION("""COMPUTED_VALUE"""),"HIMMAT SINGH")</f>
        <v>HIMMAT SINGH</v>
      </c>
    </row>
    <row r="429" spans="1:8">
      <c r="A429" s="10">
        <f ca="1">IFERROR(__xludf.DUMMYFUNCTION("""COMPUTED_VALUE"""),56)</f>
        <v>56</v>
      </c>
      <c r="B429" s="10" t="str">
        <f ca="1">IFERROR(__xludf.DUMMYFUNCTION("""COMPUTED_VALUE"""),"Sehore")</f>
        <v>Sehore</v>
      </c>
      <c r="C429" s="10" t="str">
        <f ca="1">IFERROR(__xludf.DUMMYFUNCTION("""COMPUTED_VALUE"""),"nayanthara showroom")</f>
        <v>nayanthara showroom</v>
      </c>
      <c r="D429" s="10">
        <f ca="1">IFERROR(__xludf.DUMMYFUNCTION("""COMPUTED_VALUE"""),1436142823)</f>
        <v>1436142823</v>
      </c>
      <c r="E429" s="12"/>
      <c r="F429" s="10"/>
      <c r="G429" s="10" t="str">
        <f ca="1">IFERROR(__xludf.DUMMYFUNCTION("""COMPUTED_VALUE"""),"B2C")</f>
        <v>B2C</v>
      </c>
      <c r="H429" s="10" t="str">
        <f ca="1">IFERROR(__xludf.DUMMYFUNCTION("""COMPUTED_VALUE"""),"Rajendra pushpad")</f>
        <v>Rajendra pushpad</v>
      </c>
    </row>
    <row r="430" spans="1:8">
      <c r="A430" s="10">
        <f ca="1">IFERROR(__xludf.DUMMYFUNCTION("""COMPUTED_VALUE"""),1)</f>
        <v>1</v>
      </c>
      <c r="B430" s="10" t="str">
        <f ca="1">IFERROR(__xludf.DUMMYFUNCTION("""COMPUTED_VALUE"""),"Ujjain")</f>
        <v>Ujjain</v>
      </c>
      <c r="C430" s="10" t="str">
        <f ca="1">IFERROR(__xludf.DUMMYFUNCTION("""COMPUTED_VALUE"""),"shakha prabandhak union bank of india ")</f>
        <v xml:space="preserve">shakha prabandhak union bank of india </v>
      </c>
      <c r="D430" s="10">
        <f ca="1">IFERROR(__xludf.DUMMYFUNCTION("""COMPUTED_VALUE"""),1841104004)</f>
        <v>1841104004</v>
      </c>
      <c r="E430" s="12">
        <f ca="1">IFERROR(__xludf.DUMMYFUNCTION("""COMPUTED_VALUE"""),46111)</f>
        <v>46111</v>
      </c>
      <c r="F430" s="10" t="str">
        <f ca="1">IFERROR(__xludf.DUMMYFUNCTION("""COMPUTED_VALUE"""),"bnpl-speed post")</f>
        <v>bnpl-speed post</v>
      </c>
      <c r="G430" s="10" t="str">
        <f ca="1">IFERROR(__xludf.DUMMYFUNCTION("""COMPUTED_VALUE"""),"B2C")</f>
        <v>B2C</v>
      </c>
      <c r="H430" s="10" t="str">
        <f ca="1">IFERROR(__xludf.DUMMYFUNCTION("""COMPUTED_VALUE"""),"Anil kumar kayasth")</f>
        <v>Anil kumar kayasth</v>
      </c>
    </row>
    <row r="431" spans="1:8">
      <c r="A431" s="10">
        <f ca="1">IFERROR(__xludf.DUMMYFUNCTION("""COMPUTED_VALUE"""),2)</f>
        <v>2</v>
      </c>
      <c r="B431" s="10" t="str">
        <f ca="1">IFERROR(__xludf.DUMMYFUNCTION("""COMPUTED_VALUE"""),"Ujjain")</f>
        <v>Ujjain</v>
      </c>
      <c r="C431" s="10" t="str">
        <f ca="1">IFERROR(__xludf.DUMMYFUNCTION("""COMPUTED_VALUE"""),"Shakha prabandhak mohday bhartiy state bankn agar ")</f>
        <v xml:space="preserve">Shakha prabandhak mohday bhartiy state bankn agar </v>
      </c>
      <c r="D431" s="10">
        <f ca="1">IFERROR(__xludf.DUMMYFUNCTION("""COMPUTED_VALUE"""),1634558796)</f>
        <v>1634558796</v>
      </c>
      <c r="E431" s="12">
        <f ca="1">IFERROR(__xludf.DUMMYFUNCTION("""COMPUTED_VALUE"""),46118)</f>
        <v>46118</v>
      </c>
      <c r="F431" s="10" t="str">
        <f ca="1">IFERROR(__xludf.DUMMYFUNCTION("""COMPUTED_VALUE"""),"bnpl-speed post")</f>
        <v>bnpl-speed post</v>
      </c>
      <c r="G431" s="10" t="str">
        <f ca="1">IFERROR(__xludf.DUMMYFUNCTION("""COMPUTED_VALUE"""),"B2C")</f>
        <v>B2C</v>
      </c>
      <c r="H431" s="10" t="str">
        <f ca="1">IFERROR(__xludf.DUMMYFUNCTION("""COMPUTED_VALUE"""),"Anil kumar kayasth")</f>
        <v>Anil kumar kayasth</v>
      </c>
    </row>
    <row r="432" spans="1:8">
      <c r="A432" s="10">
        <f ca="1">IFERROR(__xludf.DUMMYFUNCTION("""COMPUTED_VALUE"""),3)</f>
        <v>3</v>
      </c>
      <c r="B432" s="10" t="str">
        <f ca="1">IFERROR(__xludf.DUMMYFUNCTION("""COMPUTED_VALUE"""),"Ujjain")</f>
        <v>Ujjain</v>
      </c>
      <c r="C432" s="10" t="str">
        <f ca="1">IFERROR(__xludf.DUMMYFUNCTION("""COMPUTED_VALUE"""),"Bal krishna veshnav jay jagnant courier")</f>
        <v>Bal krishna veshnav jay jagnant courier</v>
      </c>
      <c r="D432" s="10">
        <f ca="1">IFERROR(__xludf.DUMMYFUNCTION("""COMPUTED_VALUE"""),1715418519)</f>
        <v>1715418519</v>
      </c>
      <c r="E432" s="12">
        <f ca="1">IFERROR(__xludf.DUMMYFUNCTION("""COMPUTED_VALUE"""),46163)</f>
        <v>46163</v>
      </c>
      <c r="F432" s="10" t="str">
        <f ca="1">IFERROR(__xludf.DUMMYFUNCTION("""COMPUTED_VALUE"""),"advance customer")</f>
        <v>advance customer</v>
      </c>
      <c r="G432" s="10" t="str">
        <f ca="1">IFERROR(__xludf.DUMMYFUNCTION("""COMPUTED_VALUE"""),"B2C")</f>
        <v>B2C</v>
      </c>
      <c r="H432" s="10" t="str">
        <f ca="1">IFERROR(__xludf.DUMMYFUNCTION("""COMPUTED_VALUE"""),"Anil kumar kayasth")</f>
        <v>Anil kumar kayasth</v>
      </c>
    </row>
    <row r="433" spans="1:8">
      <c r="A433" s="10">
        <f ca="1">IFERROR(__xludf.DUMMYFUNCTION("""COMPUTED_VALUE"""),4)</f>
        <v>4</v>
      </c>
      <c r="B433" s="10" t="str">
        <f ca="1">IFERROR(__xludf.DUMMYFUNCTION("""COMPUTED_VALUE"""),"Ujjain")</f>
        <v>Ujjain</v>
      </c>
      <c r="C433" s="10" t="str">
        <f ca="1">IFERROR(__xludf.DUMMYFUNCTION("""COMPUTED_VALUE"""),"shakha prabandhak mohday kenra bank agar")</f>
        <v>shakha prabandhak mohday kenra bank agar</v>
      </c>
      <c r="D433" s="10">
        <f ca="1">IFERROR(__xludf.DUMMYFUNCTION("""COMPUTED_VALUE"""),1413997724)</f>
        <v>1413997724</v>
      </c>
      <c r="E433" s="12">
        <f ca="1">IFERROR(__xludf.DUMMYFUNCTION("""COMPUTED_VALUE"""),46163)</f>
        <v>46163</v>
      </c>
      <c r="F433" s="10" t="str">
        <f ca="1">IFERROR(__xludf.DUMMYFUNCTION("""COMPUTED_VALUE"""),"bnpl-speed post")</f>
        <v>bnpl-speed post</v>
      </c>
      <c r="G433" s="10" t="str">
        <f ca="1">IFERROR(__xludf.DUMMYFUNCTION("""COMPUTED_VALUE"""),"B2C")</f>
        <v>B2C</v>
      </c>
      <c r="H433" s="10" t="str">
        <f ca="1">IFERROR(__xludf.DUMMYFUNCTION("""COMPUTED_VALUE"""),"Anil kumar kayasth")</f>
        <v>Anil kumar kayasth</v>
      </c>
    </row>
    <row r="434" spans="1:8">
      <c r="A434" s="10">
        <f ca="1">IFERROR(__xludf.DUMMYFUNCTION("""COMPUTED_VALUE"""),5)</f>
        <v>5</v>
      </c>
      <c r="B434" s="10" t="str">
        <f ca="1">IFERROR(__xludf.DUMMYFUNCTION("""COMPUTED_VALUE"""),"Ujjain")</f>
        <v>Ujjain</v>
      </c>
      <c r="C434" s="10" t="str">
        <f ca="1">IFERROR(__xludf.DUMMYFUNCTION("""COMPUTED_VALUE"""),"shakha prabandhak idbi bank kota road agar")</f>
        <v>shakha prabandhak idbi bank kota road agar</v>
      </c>
      <c r="D434" s="10">
        <f ca="1">IFERROR(__xludf.DUMMYFUNCTION("""COMPUTED_VALUE"""),1932597043)</f>
        <v>1932597043</v>
      </c>
      <c r="E434" s="12">
        <f ca="1">IFERROR(__xludf.DUMMYFUNCTION("""COMPUTED_VALUE"""),46168)</f>
        <v>46168</v>
      </c>
      <c r="F434" s="10" t="str">
        <f ca="1">IFERROR(__xludf.DUMMYFUNCTION("""COMPUTED_VALUE"""),"bnpl-speed post")</f>
        <v>bnpl-speed post</v>
      </c>
      <c r="G434" s="10" t="str">
        <f ca="1">IFERROR(__xludf.DUMMYFUNCTION("""COMPUTED_VALUE"""),"B2C")</f>
        <v>B2C</v>
      </c>
      <c r="H434" s="10" t="str">
        <f ca="1">IFERROR(__xludf.DUMMYFUNCTION("""COMPUTED_VALUE"""),"Anil kumar kayasth")</f>
        <v>Anil kumar kayasth</v>
      </c>
    </row>
    <row r="435" spans="1:8">
      <c r="A435" s="10">
        <f ca="1">IFERROR(__xludf.DUMMYFUNCTION("""COMPUTED_VALUE"""),6)</f>
        <v>6</v>
      </c>
      <c r="B435" s="10" t="str">
        <f ca="1">IFERROR(__xludf.DUMMYFUNCTION("""COMPUTED_VALUE"""),"Ujjain")</f>
        <v>Ujjain</v>
      </c>
      <c r="C435" s="10" t="str">
        <f ca="1">IFERROR(__xludf.DUMMYFUNCTION("""COMPUTED_VALUE"""),"Principal mohday kendriy vidhyalay agar")</f>
        <v>Principal mohday kendriy vidhyalay agar</v>
      </c>
      <c r="D435" s="10">
        <f ca="1">IFERROR(__xludf.DUMMYFUNCTION("""COMPUTED_VALUE"""),1762876916)</f>
        <v>1762876916</v>
      </c>
      <c r="E435" s="12">
        <f ca="1">IFERROR(__xludf.DUMMYFUNCTION("""COMPUTED_VALUE"""),46181)</f>
        <v>46181</v>
      </c>
      <c r="F435" s="10" t="str">
        <f ca="1">IFERROR(__xludf.DUMMYFUNCTION("""COMPUTED_VALUE"""),"bnpl-speed post")</f>
        <v>bnpl-speed post</v>
      </c>
      <c r="G435" s="10" t="str">
        <f ca="1">IFERROR(__xludf.DUMMYFUNCTION("""COMPUTED_VALUE"""),"B2C")</f>
        <v>B2C</v>
      </c>
      <c r="H435" s="10" t="str">
        <f ca="1">IFERROR(__xludf.DUMMYFUNCTION("""COMPUTED_VALUE"""),"Anil kumar kayasth")</f>
        <v>Anil kumar kayasth</v>
      </c>
    </row>
    <row r="436" spans="1:8">
      <c r="A436" s="10">
        <f ca="1">IFERROR(__xludf.DUMMYFUNCTION("""COMPUTED_VALUE"""),7)</f>
        <v>7</v>
      </c>
      <c r="B436" s="10" t="str">
        <f ca="1">IFERROR(__xludf.DUMMYFUNCTION("""COMPUTED_VALUE"""),"Ujjain")</f>
        <v>Ujjain</v>
      </c>
      <c r="C436" s="10" t="str">
        <f ca="1">IFERROR(__xludf.DUMMYFUNCTION("""COMPUTED_VALUE"""),"Principal politachnical college ujjain road agar ")</f>
        <v xml:space="preserve">Principal politachnical college ujjain road agar </v>
      </c>
      <c r="D436" s="10">
        <f ca="1">IFERROR(__xludf.DUMMYFUNCTION("""COMPUTED_VALUE"""),1250783523)</f>
        <v>1250783523</v>
      </c>
      <c r="E436" s="12">
        <f ca="1">IFERROR(__xludf.DUMMYFUNCTION("""COMPUTED_VALUE"""),46202)</f>
        <v>46202</v>
      </c>
      <c r="F436" s="10" t="str">
        <f ca="1">IFERROR(__xludf.DUMMYFUNCTION("""COMPUTED_VALUE"""),"bnpl-speed post")</f>
        <v>bnpl-speed post</v>
      </c>
      <c r="G436" s="10" t="str">
        <f ca="1">IFERROR(__xludf.DUMMYFUNCTION("""COMPUTED_VALUE"""),"B2C")</f>
        <v>B2C</v>
      </c>
      <c r="H436" s="10" t="str">
        <f ca="1">IFERROR(__xludf.DUMMYFUNCTION("""COMPUTED_VALUE"""),"Anil kumar kayasth")</f>
        <v>Anil kumar kayasth</v>
      </c>
    </row>
    <row r="437" spans="1:8">
      <c r="A437" s="10">
        <f ca="1">IFERROR(__xludf.DUMMYFUNCTION("""COMPUTED_VALUE"""),8)</f>
        <v>8</v>
      </c>
      <c r="B437" s="10" t="str">
        <f ca="1">IFERROR(__xludf.DUMMYFUNCTION("""COMPUTED_VALUE"""),"Ujjain")</f>
        <v>Ujjain</v>
      </c>
      <c r="C437" s="10" t="str">
        <f ca="1">IFERROR(__xludf.DUMMYFUNCTION("""COMPUTED_VALUE"""),"Shakha prabandhak bank of india soyatkalan")</f>
        <v>Shakha prabandhak bank of india soyatkalan</v>
      </c>
      <c r="D437" s="10">
        <f ca="1">IFERROR(__xludf.DUMMYFUNCTION("""COMPUTED_VALUE"""),1100308643)</f>
        <v>1100308643</v>
      </c>
      <c r="E437" s="12">
        <f ca="1">IFERROR(__xludf.DUMMYFUNCTION("""COMPUTED_VALUE"""),46233)</f>
        <v>46233</v>
      </c>
      <c r="F437" s="10" t="str">
        <f ca="1">IFERROR(__xludf.DUMMYFUNCTION("""COMPUTED_VALUE"""),"bnpl-speed post")</f>
        <v>bnpl-speed post</v>
      </c>
      <c r="G437" s="10" t="str">
        <f ca="1">IFERROR(__xludf.DUMMYFUNCTION("""COMPUTED_VALUE"""),"B2C")</f>
        <v>B2C</v>
      </c>
      <c r="H437" s="10" t="str">
        <f ca="1">IFERROR(__xludf.DUMMYFUNCTION("""COMPUTED_VALUE"""),"Anil kumar kayasth")</f>
        <v>Anil kumar kayasth</v>
      </c>
    </row>
    <row r="438" spans="1:8">
      <c r="A438" s="10">
        <f ca="1">IFERROR(__xludf.DUMMYFUNCTION("""COMPUTED_VALUE"""),9)</f>
        <v>9</v>
      </c>
      <c r="B438" s="10" t="str">
        <f ca="1">IFERROR(__xludf.DUMMYFUNCTION("""COMPUTED_VALUE"""),"Ujjain")</f>
        <v>Ujjain</v>
      </c>
      <c r="C438" s="10" t="str">
        <f ca="1">IFERROR(__xludf.DUMMYFUNCTION("""COMPUTED_VALUE"""),"Shakha prabandhak bhartiya state bank soyatkalan")</f>
        <v>Shakha prabandhak bhartiya state bank soyatkalan</v>
      </c>
      <c r="D438" s="10">
        <f ca="1">IFERROR(__xludf.DUMMYFUNCTION("""COMPUTED_VALUE"""),1982377158)</f>
        <v>1982377158</v>
      </c>
      <c r="E438" s="12">
        <f ca="1">IFERROR(__xludf.DUMMYFUNCTION("""COMPUTED_VALUE"""),46233)</f>
        <v>46233</v>
      </c>
      <c r="F438" s="10" t="str">
        <f ca="1">IFERROR(__xludf.DUMMYFUNCTION("""COMPUTED_VALUE"""),"bnpl-speed post")</f>
        <v>bnpl-speed post</v>
      </c>
      <c r="G438" s="10" t="str">
        <f ca="1">IFERROR(__xludf.DUMMYFUNCTION("""COMPUTED_VALUE"""),"B2C")</f>
        <v>B2C</v>
      </c>
      <c r="H438" s="10" t="str">
        <f ca="1">IFERROR(__xludf.DUMMYFUNCTION("""COMPUTED_VALUE"""),"Anil kumar kayasth")</f>
        <v>Anil kumar kayasth</v>
      </c>
    </row>
    <row r="439" spans="1:8">
      <c r="A439" s="10">
        <f ca="1">IFERROR(__xludf.DUMMYFUNCTION("""COMPUTED_VALUE"""),10)</f>
        <v>10</v>
      </c>
      <c r="B439" s="10" t="str">
        <f ca="1">IFERROR(__xludf.DUMMYFUNCTION("""COMPUTED_VALUE"""),"Ujjain")</f>
        <v>Ujjain</v>
      </c>
      <c r="C439" s="10" t="str">
        <f ca="1">IFERROR(__xludf.DUMMYFUNCTION("""COMPUTED_VALUE"""),"Shakha prabandhak bhartiya state bank barode")</f>
        <v>Shakha prabandhak bhartiya state bank barode</v>
      </c>
      <c r="D439" s="10">
        <f ca="1">IFERROR(__xludf.DUMMYFUNCTION("""COMPUTED_VALUE"""),1866594362)</f>
        <v>1866594362</v>
      </c>
      <c r="E439" s="12">
        <f ca="1">IFERROR(__xludf.DUMMYFUNCTION("""COMPUTED_VALUE"""),46233)</f>
        <v>46233</v>
      </c>
      <c r="F439" s="10" t="str">
        <f ca="1">IFERROR(__xludf.DUMMYFUNCTION("""COMPUTED_VALUE"""),"bnpl-speed post")</f>
        <v>bnpl-speed post</v>
      </c>
      <c r="G439" s="10" t="str">
        <f ca="1">IFERROR(__xludf.DUMMYFUNCTION("""COMPUTED_VALUE"""),"B2C")</f>
        <v>B2C</v>
      </c>
      <c r="H439" s="10" t="str">
        <f ca="1">IFERROR(__xludf.DUMMYFUNCTION("""COMPUTED_VALUE"""),"Anil kumar kayasth")</f>
        <v>Anil kumar kayasth</v>
      </c>
    </row>
    <row r="440" spans="1:8">
      <c r="A440" s="10">
        <f ca="1">IFERROR(__xludf.DUMMYFUNCTION("""COMPUTED_VALUE"""),11)</f>
        <v>11</v>
      </c>
      <c r="B440" s="10" t="str">
        <f ca="1">IFERROR(__xludf.DUMMYFUNCTION("""COMPUTED_VALUE"""),"Ujjain")</f>
        <v>Ujjain</v>
      </c>
      <c r="C440" s="10" t="str">
        <f ca="1">IFERROR(__xludf.DUMMYFUNCTION("""COMPUTED_VALUE"""),"Shakha prabandhak bank of india barode")</f>
        <v>Shakha prabandhak bank of india barode</v>
      </c>
      <c r="D440" s="10">
        <f ca="1">IFERROR(__xludf.DUMMYFUNCTION("""COMPUTED_VALUE"""),1959590361)</f>
        <v>1959590361</v>
      </c>
      <c r="E440" s="12">
        <f ca="1">IFERROR(__xludf.DUMMYFUNCTION("""COMPUTED_VALUE"""),46233)</f>
        <v>46233</v>
      </c>
      <c r="F440" s="10" t="str">
        <f ca="1">IFERROR(__xludf.DUMMYFUNCTION("""COMPUTED_VALUE"""),"bnpl-speed post")</f>
        <v>bnpl-speed post</v>
      </c>
      <c r="G440" s="10" t="str">
        <f ca="1">IFERROR(__xludf.DUMMYFUNCTION("""COMPUTED_VALUE"""),"B2C")</f>
        <v>B2C</v>
      </c>
      <c r="H440" s="10" t="str">
        <f ca="1">IFERROR(__xludf.DUMMYFUNCTION("""COMPUTED_VALUE"""),"Anil kumar kayasth")</f>
        <v>Anil kumar kayasth</v>
      </c>
    </row>
    <row r="441" spans="1:8">
      <c r="A441" s="10">
        <f ca="1">IFERROR(__xludf.DUMMYFUNCTION("""COMPUTED_VALUE"""),12)</f>
        <v>12</v>
      </c>
      <c r="B441" s="10" t="str">
        <f ca="1">IFERROR(__xludf.DUMMYFUNCTION("""COMPUTED_VALUE"""),"Ujjain")</f>
        <v>Ujjain</v>
      </c>
      <c r="C441" s="10" t="str">
        <f ca="1">IFERROR(__xludf.DUMMYFUNCTION("""COMPUTED_VALUE"""),"  STATE BANK OF INDIA MAKSI")</f>
        <v xml:space="preserve">  STATE BANK OF INDIA MAKSI</v>
      </c>
      <c r="D441" s="10">
        <f ca="1">IFERROR(__xludf.DUMMYFUNCTION("""COMPUTED_VALUE"""),1566212097)</f>
        <v>1566212097</v>
      </c>
      <c r="E441" s="12">
        <f ca="1">IFERROR(__xludf.DUMMYFUNCTION("""COMPUTED_VALUE"""),46121)</f>
        <v>46121</v>
      </c>
      <c r="F441" s="10" t="str">
        <f ca="1">IFERROR(__xludf.DUMMYFUNCTION("""COMPUTED_VALUE"""),"BNPL speed post")</f>
        <v>BNPL speed post</v>
      </c>
      <c r="G441" s="10" t="str">
        <f ca="1">IFERROR(__xludf.DUMMYFUNCTION("""COMPUTED_VALUE"""),"B2C")</f>
        <v>B2C</v>
      </c>
      <c r="H441" s="10" t="str">
        <f ca="1">IFERROR(__xludf.DUMMYFUNCTION("""COMPUTED_VALUE"""),"DURGA SHANKAR GARASIYA")</f>
        <v>DURGA SHANKAR GARASIYA</v>
      </c>
    </row>
    <row r="442" spans="1:8">
      <c r="A442" s="10">
        <f ca="1">IFERROR(__xludf.DUMMYFUNCTION("""COMPUTED_VALUE"""),13)</f>
        <v>13</v>
      </c>
      <c r="B442" s="10" t="str">
        <f ca="1">IFERROR(__xludf.DUMMYFUNCTION("""COMPUTED_VALUE"""),"Ujjain")</f>
        <v>Ujjain</v>
      </c>
      <c r="C442" s="10" t="str">
        <f ca="1">IFERROR(__xludf.DUMMYFUNCTION("""COMPUTED_VALUE"""),"SHAJAPUR FISHING TACKLE")</f>
        <v>SHAJAPUR FISHING TACKLE</v>
      </c>
      <c r="D442" s="10">
        <f ca="1">IFERROR(__xludf.DUMMYFUNCTION("""COMPUTED_VALUE"""),1455493203)</f>
        <v>1455493203</v>
      </c>
      <c r="E442" s="12">
        <f ca="1">IFERROR(__xludf.DUMMYFUNCTION("""COMPUTED_VALUE"""),46226)</f>
        <v>46226</v>
      </c>
      <c r="F442" s="10" t="str">
        <f ca="1">IFERROR(__xludf.DUMMYFUNCTION("""COMPUTED_VALUE"""),"INDIAPOST PARCEL CONTRACTUAL")</f>
        <v>INDIAPOST PARCEL CONTRACTUAL</v>
      </c>
      <c r="G442" s="10" t="str">
        <f ca="1">IFERROR(__xludf.DUMMYFUNCTION("""COMPUTED_VALUE"""),"B2C")</f>
        <v>B2C</v>
      </c>
      <c r="H442" s="10" t="str">
        <f ca="1">IFERROR(__xludf.DUMMYFUNCTION("""COMPUTED_VALUE"""),"DURGA SHANKAR GARASIYA")</f>
        <v>DURGA SHANKAR GARASIYA</v>
      </c>
    </row>
    <row r="443" spans="1:8">
      <c r="A443" s="10">
        <f ca="1">IFERROR(__xludf.DUMMYFUNCTION("""COMPUTED_VALUE"""),14)</f>
        <v>14</v>
      </c>
      <c r="B443" s="10" t="str">
        <f ca="1">IFERROR(__xludf.DUMMYFUNCTION("""COMPUTED_VALUE"""),"Ujjain")</f>
        <v>Ujjain</v>
      </c>
      <c r="C443" s="10" t="str">
        <f ca="1">IFERROR(__xludf.DUMMYFUNCTION("""COMPUTED_VALUE"""),"STATE BANK OF INDIA MAKSI")</f>
        <v>STATE BANK OF INDIA MAKSI</v>
      </c>
      <c r="D443" s="10">
        <f ca="1">IFERROR(__xludf.DUMMYFUNCTION("""COMPUTED_VALUE"""),1975305338)</f>
        <v>1975305338</v>
      </c>
      <c r="E443" s="12">
        <f ca="1">IFERROR(__xludf.DUMMYFUNCTION("""COMPUTED_VALUE"""),46195)</f>
        <v>46195</v>
      </c>
      <c r="F443" s="10" t="str">
        <f ca="1">IFERROR(__xludf.DUMMYFUNCTION("""COMPUTED_VALUE"""),"BNPL speed post")</f>
        <v>BNPL speed post</v>
      </c>
      <c r="G443" s="10" t="str">
        <f ca="1">IFERROR(__xludf.DUMMYFUNCTION("""COMPUTED_VALUE"""),"B2C")</f>
        <v>B2C</v>
      </c>
      <c r="H443" s="10" t="str">
        <f ca="1">IFERROR(__xludf.DUMMYFUNCTION("""COMPUTED_VALUE"""),"DURGA SHANKAR GARASIYA")</f>
        <v>DURGA SHANKAR GARASIYA</v>
      </c>
    </row>
    <row r="444" spans="1:8">
      <c r="A444" s="10">
        <f ca="1">IFERROR(__xludf.DUMMYFUNCTION("""COMPUTED_VALUE"""),15)</f>
        <v>15</v>
      </c>
      <c r="B444" s="10" t="str">
        <f ca="1">IFERROR(__xludf.DUMMYFUNCTION("""COMPUTED_VALUE"""),"Ujjain")</f>
        <v>Ujjain</v>
      </c>
      <c r="C444" s="10" t="str">
        <f ca="1">IFERROR(__xludf.DUMMYFUNCTION("""COMPUTED_VALUE"""),"SAROVAR SARESS AND LEHANGA")</f>
        <v>SAROVAR SARESS AND LEHANGA</v>
      </c>
      <c r="D444" s="10">
        <f ca="1">IFERROR(__xludf.DUMMYFUNCTION("""COMPUTED_VALUE"""),1658287079)</f>
        <v>1658287079</v>
      </c>
      <c r="E444" s="12">
        <f ca="1">IFERROR(__xludf.DUMMYFUNCTION("""COMPUTED_VALUE"""),46235)</f>
        <v>46235</v>
      </c>
      <c r="F444" s="10" t="str">
        <f ca="1">IFERROR(__xludf.DUMMYFUNCTION("""COMPUTED_VALUE"""),"INDIA POST PARCEL CONTRACTUAL ")</f>
        <v xml:space="preserve">INDIA POST PARCEL CONTRACTUAL </v>
      </c>
      <c r="G444" s="10" t="str">
        <f ca="1">IFERROR(__xludf.DUMMYFUNCTION("""COMPUTED_VALUE"""),"B2C")</f>
        <v>B2C</v>
      </c>
      <c r="H444" s="10" t="str">
        <f ca="1">IFERROR(__xludf.DUMMYFUNCTION("""COMPUTED_VALUE"""),"DURGA SHANKAR GARASIYA")</f>
        <v>DURGA SHANKAR GARASIYA</v>
      </c>
    </row>
    <row r="445" spans="1:8">
      <c r="A445" s="10">
        <f ca="1">IFERROR(__xludf.DUMMYFUNCTION("""COMPUTED_VALUE"""),16)</f>
        <v>16</v>
      </c>
      <c r="B445" s="10" t="str">
        <f ca="1">IFERROR(__xludf.DUMMYFUNCTION("""COMPUTED_VALUE"""),"Ujjain")</f>
        <v>Ujjain</v>
      </c>
      <c r="C445" s="10" t="str">
        <f ca="1">IFERROR(__xludf.DUMMYFUNCTION("""COMPUTED_VALUE"""),"PADMAVATI RAJPUTI PARIDHAN")</f>
        <v>PADMAVATI RAJPUTI PARIDHAN</v>
      </c>
      <c r="D445" s="10">
        <f ca="1">IFERROR(__xludf.DUMMYFUNCTION("""COMPUTED_VALUE"""),1461054195)</f>
        <v>1461054195</v>
      </c>
      <c r="E445" s="12">
        <f ca="1">IFERROR(__xludf.DUMMYFUNCTION("""COMPUTED_VALUE"""),46214)</f>
        <v>46214</v>
      </c>
      <c r="F445" s="10" t="str">
        <f ca="1">IFERROR(__xludf.DUMMYFUNCTION("""COMPUTED_VALUE"""),"INDIAPOST PARCEL CONTRACTUAL ")</f>
        <v xml:space="preserve">INDIAPOST PARCEL CONTRACTUAL </v>
      </c>
      <c r="G445" s="10" t="str">
        <f ca="1">IFERROR(__xludf.DUMMYFUNCTION("""COMPUTED_VALUE"""),"B2C")</f>
        <v>B2C</v>
      </c>
      <c r="H445" s="10" t="str">
        <f ca="1">IFERROR(__xludf.DUMMYFUNCTION("""COMPUTED_VALUE"""),"DURGA SHANKAR GARASIYA")</f>
        <v>DURGA SHANKAR GARASIYA</v>
      </c>
    </row>
    <row r="446" spans="1:8">
      <c r="A446" s="10">
        <f ca="1">IFERROR(__xludf.DUMMYFUNCTION("""COMPUTED_VALUE"""),17)</f>
        <v>17</v>
      </c>
      <c r="B446" s="10" t="str">
        <f ca="1">IFERROR(__xludf.DUMMYFUNCTION("""COMPUTED_VALUE"""),"Ujjain")</f>
        <v>Ujjain</v>
      </c>
      <c r="C446" s="10" t="str">
        <f ca="1">IFERROR(__xludf.DUMMYFUNCTION("""COMPUTED_VALUE"""),"MPAS EDUCATION")</f>
        <v>MPAS EDUCATION</v>
      </c>
      <c r="D446" s="10">
        <f ca="1">IFERROR(__xludf.DUMMYFUNCTION("""COMPUTED_VALUE"""),1301406580)</f>
        <v>1301406580</v>
      </c>
      <c r="E446" s="12">
        <f ca="1">IFERROR(__xludf.DUMMYFUNCTION("""COMPUTED_VALUE"""),46238)</f>
        <v>46238</v>
      </c>
      <c r="F446" s="10" t="str">
        <f ca="1">IFERROR(__xludf.DUMMYFUNCTION("""COMPUTED_VALUE"""),"INDIA POST PARCEL CONTRACTUAL ")</f>
        <v xml:space="preserve">INDIA POST PARCEL CONTRACTUAL </v>
      </c>
      <c r="G446" s="10" t="str">
        <f ca="1">IFERROR(__xludf.DUMMYFUNCTION("""COMPUTED_VALUE"""),"B2C")</f>
        <v>B2C</v>
      </c>
      <c r="H446" s="10" t="str">
        <f ca="1">IFERROR(__xludf.DUMMYFUNCTION("""COMPUTED_VALUE"""),"DURGA SHANKAR GARASIYA")</f>
        <v>DURGA SHANKAR GARASIYA</v>
      </c>
    </row>
    <row r="447" spans="1:8">
      <c r="A447" s="10">
        <f ca="1">IFERROR(__xludf.DUMMYFUNCTION("""COMPUTED_VALUE"""),18)</f>
        <v>18</v>
      </c>
      <c r="B447" s="10" t="str">
        <f ca="1">IFERROR(__xludf.DUMMYFUNCTION("""COMPUTED_VALUE"""),"Ujjain")</f>
        <v>Ujjain</v>
      </c>
      <c r="C447" s="10" t="str">
        <f ca="1">IFERROR(__xludf.DUMMYFUNCTION("""COMPUTED_VALUE"""),"INDRAJEET PANDEY")</f>
        <v>INDRAJEET PANDEY</v>
      </c>
      <c r="D447" s="10">
        <f ca="1">IFERROR(__xludf.DUMMYFUNCTION("""COMPUTED_VALUE"""),1707143155)</f>
        <v>1707143155</v>
      </c>
      <c r="E447" s="12">
        <f ca="1">IFERROR(__xludf.DUMMYFUNCTION("""COMPUTED_VALUE"""),46246)</f>
        <v>46246</v>
      </c>
      <c r="F447" s="10" t="str">
        <f ca="1">IFERROR(__xludf.DUMMYFUNCTION("""COMPUTED_VALUE"""),"INDIAPOST PARCEL CONTRACTUAL ")</f>
        <v xml:space="preserve">INDIAPOST PARCEL CONTRACTUAL </v>
      </c>
      <c r="G447" s="10" t="str">
        <f ca="1">IFERROR(__xludf.DUMMYFUNCTION("""COMPUTED_VALUE"""),"B2C")</f>
        <v>B2C</v>
      </c>
      <c r="H447" s="10" t="str">
        <f ca="1">IFERROR(__xludf.DUMMYFUNCTION("""COMPUTED_VALUE"""),"DURGA SHANKAR GARASIYA")</f>
        <v>DURGA SHANKAR GARASIYA</v>
      </c>
    </row>
    <row r="448" spans="1:8">
      <c r="A448" s="10">
        <f ca="1">IFERROR(__xludf.DUMMYFUNCTION("""COMPUTED_VALUE"""),19)</f>
        <v>19</v>
      </c>
      <c r="B448" s="10" t="str">
        <f ca="1">IFERROR(__xludf.DUMMYFUNCTION("""COMPUTED_VALUE"""),"Ujjain")</f>
        <v>Ujjain</v>
      </c>
      <c r="C448" s="10" t="str">
        <f ca="1">IFERROR(__xludf.DUMMYFUNCTION("""COMPUTED_VALUE"""),"ALHIZAAU_HOUSE")</f>
        <v>ALHIZAAU_HOUSE</v>
      </c>
      <c r="D448" s="10">
        <f ca="1">IFERROR(__xludf.DUMMYFUNCTION("""COMPUTED_VALUE"""),1265194917)</f>
        <v>1265194917</v>
      </c>
      <c r="E448" s="12">
        <f ca="1">IFERROR(__xludf.DUMMYFUNCTION("""COMPUTED_VALUE"""),46231)</f>
        <v>46231</v>
      </c>
      <c r="F448" s="10" t="str">
        <f ca="1">IFERROR(__xludf.DUMMYFUNCTION("""COMPUTED_VALUE"""),"INDIAPOST PARCEL CONTRACTUAL ")</f>
        <v xml:space="preserve">INDIAPOST PARCEL CONTRACTUAL </v>
      </c>
      <c r="G448" s="10" t="str">
        <f ca="1">IFERROR(__xludf.DUMMYFUNCTION("""COMPUTED_VALUE"""),"B2C")</f>
        <v>B2C</v>
      </c>
      <c r="H448" s="10" t="str">
        <f ca="1">IFERROR(__xludf.DUMMYFUNCTION("""COMPUTED_VALUE"""),"DURGA SHANKAR GARASIYA")</f>
        <v>DURGA SHANKAR GARASIYA</v>
      </c>
    </row>
    <row r="449" spans="1:8">
      <c r="A449" s="10">
        <f ca="1">IFERROR(__xludf.DUMMYFUNCTION("""COMPUTED_VALUE"""),20)</f>
        <v>20</v>
      </c>
      <c r="B449" s="10" t="str">
        <f ca="1">IFERROR(__xludf.DUMMYFUNCTION("""COMPUTED_VALUE"""),"Ujjain")</f>
        <v>Ujjain</v>
      </c>
      <c r="C449" s="10" t="str">
        <f ca="1">IFERROR(__xludf.DUMMYFUNCTION("""COMPUTED_VALUE"""),"SHAGUN SAREE")</f>
        <v>SHAGUN SAREE</v>
      </c>
      <c r="D449" s="10">
        <f ca="1">IFERROR(__xludf.DUMMYFUNCTION("""COMPUTED_VALUE"""),1687351947)</f>
        <v>1687351947</v>
      </c>
      <c r="E449" s="12">
        <f ca="1">IFERROR(__xludf.DUMMYFUNCTION("""COMPUTED_VALUE"""),46274)</f>
        <v>46274</v>
      </c>
      <c r="F449" s="10" t="str">
        <f ca="1">IFERROR(__xludf.DUMMYFUNCTION("""COMPUTED_VALUE"""),"INDIAPOST PARCEL CONTRACTUAL")</f>
        <v>INDIAPOST PARCEL CONTRACTUAL</v>
      </c>
      <c r="G449" s="10" t="str">
        <f ca="1">IFERROR(__xludf.DUMMYFUNCTION("""COMPUTED_VALUE"""),"B2C")</f>
        <v>B2C</v>
      </c>
      <c r="H449" s="10" t="str">
        <f ca="1">IFERROR(__xludf.DUMMYFUNCTION("""COMPUTED_VALUE"""),"DURGA SHANKAR GARASIYA")</f>
        <v>DURGA SHANKAR GARASIYA</v>
      </c>
    </row>
    <row r="450" spans="1:8">
      <c r="A450" s="10">
        <f ca="1">IFERROR(__xludf.DUMMYFUNCTION("""COMPUTED_VALUE"""),21)</f>
        <v>21</v>
      </c>
      <c r="B450" s="10" t="str">
        <f ca="1">IFERROR(__xludf.DUMMYFUNCTION("""COMPUTED_VALUE"""),"Ujjain")</f>
        <v>Ujjain</v>
      </c>
      <c r="C450" s="10" t="str">
        <f ca="1">IFERROR(__xludf.DUMMYFUNCTION("""COMPUTED_VALUE"""),"SHALLY ENTERPRISES ")</f>
        <v xml:space="preserve">SHALLY ENTERPRISES </v>
      </c>
      <c r="D450" s="10">
        <f ca="1">IFERROR(__xludf.DUMMYFUNCTION("""COMPUTED_VALUE"""),1686958605)</f>
        <v>1686958605</v>
      </c>
      <c r="E450" s="12">
        <f ca="1">IFERROR(__xludf.DUMMYFUNCTION("""COMPUTED_VALUE"""),46268)</f>
        <v>46268</v>
      </c>
      <c r="F450" s="10" t="str">
        <f ca="1">IFERROR(__xludf.DUMMYFUNCTION("""COMPUTED_VALUE"""),"SPEED POST AND PARCEL CONTRACTUAL ")</f>
        <v xml:space="preserve">SPEED POST AND PARCEL CONTRACTUAL </v>
      </c>
      <c r="G450" s="10" t="str">
        <f ca="1">IFERROR(__xludf.DUMMYFUNCTION("""COMPUTED_VALUE"""),"B2C")</f>
        <v>B2C</v>
      </c>
      <c r="H450" s="10" t="str">
        <f ca="1">IFERROR(__xludf.DUMMYFUNCTION("""COMPUTED_VALUE"""),"DURGA SHANKAR GARASIYA")</f>
        <v>DURGA SHANKAR GARASIYA</v>
      </c>
    </row>
    <row r="451" spans="1:8">
      <c r="A451" s="10">
        <f ca="1">IFERROR(__xludf.DUMMYFUNCTION("""COMPUTED_VALUE"""),22)</f>
        <v>22</v>
      </c>
      <c r="B451" s="10" t="str">
        <f ca="1">IFERROR(__xludf.DUMMYFUNCTION("""COMPUTED_VALUE"""),"Ujjain")</f>
        <v>Ujjain</v>
      </c>
      <c r="C451" s="10" t="str">
        <f ca="1">IFERROR(__xludf.DUMMYFUNCTION("""COMPUTED_VALUE"""),"UNION BANK")</f>
        <v>UNION BANK</v>
      </c>
      <c r="D451" s="10">
        <f ca="1">IFERROR(__xludf.DUMMYFUNCTION("""COMPUTED_VALUE"""),1622855957)</f>
        <v>1622855957</v>
      </c>
      <c r="E451" s="12">
        <f ca="1">IFERROR(__xludf.DUMMYFUNCTION("""COMPUTED_VALUE"""),46256)</f>
        <v>46256</v>
      </c>
      <c r="F451" s="10" t="str">
        <f ca="1">IFERROR(__xludf.DUMMYFUNCTION("""COMPUTED_VALUE"""),"BNPL SPEED POST")</f>
        <v>BNPL SPEED POST</v>
      </c>
      <c r="G451" s="10" t="str">
        <f ca="1">IFERROR(__xludf.DUMMYFUNCTION("""COMPUTED_VALUE"""),"B2C")</f>
        <v>B2C</v>
      </c>
      <c r="H451" s="10" t="str">
        <f ca="1">IFERROR(__xludf.DUMMYFUNCTION("""COMPUTED_VALUE"""),"DURGA SHANKAR GARASIYA")</f>
        <v>DURGA SHANKAR GARASIYA</v>
      </c>
    </row>
    <row r="452" spans="1:8">
      <c r="A452" s="10">
        <f ca="1">IFERROR(__xludf.DUMMYFUNCTION("""COMPUTED_VALUE"""),23)</f>
        <v>23</v>
      </c>
      <c r="B452" s="10" t="str">
        <f ca="1">IFERROR(__xludf.DUMMYFUNCTION("""COMPUTED_VALUE"""),"Ujjain")</f>
        <v>Ujjain</v>
      </c>
      <c r="C452" s="10" t="str">
        <f ca="1">IFERROR(__xludf.DUMMYFUNCTION("""COMPUTED_VALUE"""),"INDIAN OVERSEAS BANK")</f>
        <v>INDIAN OVERSEAS BANK</v>
      </c>
      <c r="D452" s="10">
        <f ca="1">IFERROR(__xludf.DUMMYFUNCTION("""COMPUTED_VALUE"""),1285666740)</f>
        <v>1285666740</v>
      </c>
      <c r="E452" s="12">
        <f ca="1">IFERROR(__xludf.DUMMYFUNCTION("""COMPUTED_VALUE"""),46276)</f>
        <v>46276</v>
      </c>
      <c r="F452" s="10" t="str">
        <f ca="1">IFERROR(__xludf.DUMMYFUNCTION("""COMPUTED_VALUE"""),"BNPL SPEED ")</f>
        <v xml:space="preserve">BNPL SPEED </v>
      </c>
      <c r="G452" s="10" t="str">
        <f ca="1">IFERROR(__xludf.DUMMYFUNCTION("""COMPUTED_VALUE"""),"B2C")</f>
        <v>B2C</v>
      </c>
      <c r="H452" s="10" t="str">
        <f ca="1">IFERROR(__xludf.DUMMYFUNCTION("""COMPUTED_VALUE"""),"DURGA SHANKAR GARASIYA")</f>
        <v>DURGA SHANKAR GARASIYA</v>
      </c>
    </row>
    <row r="453" spans="1:8">
      <c r="A453" s="10">
        <f ca="1">IFERROR(__xludf.DUMMYFUNCTION("""COMPUTED_VALUE"""),24)</f>
        <v>24</v>
      </c>
      <c r="B453" s="10" t="str">
        <f ca="1">IFERROR(__xludf.DUMMYFUNCTION("""COMPUTED_VALUE"""),"Ujjain")</f>
        <v>Ujjain</v>
      </c>
      <c r="C453" s="10" t="str">
        <f ca="1">IFERROR(__xludf.DUMMYFUNCTION("""COMPUTED_VALUE"""),"SHRIJI VASTRALAYA TARANA")</f>
        <v>SHRIJI VASTRALAYA TARANA</v>
      </c>
      <c r="D453" s="10">
        <f ca="1">IFERROR(__xludf.DUMMYFUNCTION("""COMPUTED_VALUE"""),1319447119)</f>
        <v>1319447119</v>
      </c>
      <c r="E453" s="12"/>
      <c r="F453" s="10" t="str">
        <f ca="1">IFERROR(__xludf.DUMMYFUNCTION("""COMPUTED_VALUE"""),"parcel contractual")</f>
        <v>parcel contractual</v>
      </c>
      <c r="G453" s="10" t="str">
        <f ca="1">IFERROR(__xludf.DUMMYFUNCTION("""COMPUTED_VALUE"""),"B2C")</f>
        <v>B2C</v>
      </c>
      <c r="H453" s="10" t="str">
        <f ca="1">IFERROR(__xludf.DUMMYFUNCTION("""COMPUTED_VALUE"""),"DURGA SHANKAR GARASIYA")</f>
        <v>DURGA SHANKAR GARASIYA</v>
      </c>
    </row>
    <row r="454" spans="1:8">
      <c r="A454" s="10">
        <f ca="1">IFERROR(__xludf.DUMMYFUNCTION("""COMPUTED_VALUE"""),25)</f>
        <v>25</v>
      </c>
      <c r="B454" s="10" t="str">
        <f ca="1">IFERROR(__xludf.DUMMYFUNCTION("""COMPUTED_VALUE"""),"Ujjain")</f>
        <v>Ujjain</v>
      </c>
      <c r="C454" s="10" t="str">
        <f ca="1">IFERROR(__xludf.DUMMYFUNCTION("""COMPUTED_VALUE"""),"RADHIKA SAREE TARANA")</f>
        <v>RADHIKA SAREE TARANA</v>
      </c>
      <c r="D454" s="10">
        <f ca="1">IFERROR(__xludf.DUMMYFUNCTION("""COMPUTED_VALUE"""),1371033742)</f>
        <v>1371033742</v>
      </c>
      <c r="E454" s="12">
        <f ca="1">IFERROR(__xludf.DUMMYFUNCTION("""COMPUTED_VALUE"""),46239)</f>
        <v>46239</v>
      </c>
      <c r="F454" s="10" t="str">
        <f ca="1">IFERROR(__xludf.DUMMYFUNCTION("""COMPUTED_VALUE"""),"parcel contractual ")</f>
        <v xml:space="preserve">parcel contractual </v>
      </c>
      <c r="G454" s="10" t="str">
        <f ca="1">IFERROR(__xludf.DUMMYFUNCTION("""COMPUTED_VALUE"""),"B2C")</f>
        <v>B2C</v>
      </c>
      <c r="H454" s="10" t="str">
        <f ca="1">IFERROR(__xludf.DUMMYFUNCTION("""COMPUTED_VALUE"""),"DURGA SHANKAR GARASIYA")</f>
        <v>DURGA SHANKAR GARASIYA</v>
      </c>
    </row>
    <row r="455" spans="1:8">
      <c r="A455" s="10">
        <f ca="1">IFERROR(__xludf.DUMMYFUNCTION("""COMPUTED_VALUE"""),26)</f>
        <v>26</v>
      </c>
      <c r="B455" s="10" t="str">
        <f ca="1">IFERROR(__xludf.DUMMYFUNCTION("""COMPUTED_VALUE"""),"Ujjain")</f>
        <v>Ujjain</v>
      </c>
      <c r="C455" s="10" t="str">
        <f ca="1">IFERROR(__xludf.DUMMYFUNCTION("""COMPUTED_VALUE"""),"RADHIKA SAREE MAKSI")</f>
        <v>RADHIKA SAREE MAKSI</v>
      </c>
      <c r="D455" s="10">
        <f ca="1">IFERROR(__xludf.DUMMYFUNCTION("""COMPUTED_VALUE"""),1435967697)</f>
        <v>1435967697</v>
      </c>
      <c r="E455" s="12">
        <f ca="1">IFERROR(__xludf.DUMMYFUNCTION("""COMPUTED_VALUE"""),46247)</f>
        <v>46247</v>
      </c>
      <c r="F455" s="10" t="str">
        <f ca="1">IFERROR(__xludf.DUMMYFUNCTION("""COMPUTED_VALUE"""),"parcel contractual ")</f>
        <v xml:space="preserve">parcel contractual </v>
      </c>
      <c r="G455" s="10" t="str">
        <f ca="1">IFERROR(__xludf.DUMMYFUNCTION("""COMPUTED_VALUE"""),"B2C")</f>
        <v>B2C</v>
      </c>
      <c r="H455" s="10" t="str">
        <f ca="1">IFERROR(__xludf.DUMMYFUNCTION("""COMPUTED_VALUE"""),"DURGA SHANKAR GARASIYA")</f>
        <v>DURGA SHANKAR GARASIYA</v>
      </c>
    </row>
    <row r="456" spans="1:8">
      <c r="A456" s="10">
        <f ca="1">IFERROR(__xludf.DUMMYFUNCTION("""COMPUTED_VALUE"""),27)</f>
        <v>27</v>
      </c>
      <c r="B456" s="10" t="str">
        <f ca="1">IFERROR(__xludf.DUMMYFUNCTION("""COMPUTED_VALUE"""),"Ujjain")</f>
        <v>Ujjain</v>
      </c>
      <c r="C456" s="10" t="str">
        <f ca="1">IFERROR(__xludf.DUMMYFUNCTION("""COMPUTED_VALUE"""),"PAAMAS HL BAL PVT LTD")</f>
        <v>PAAMAS HL BAL PVT LTD</v>
      </c>
      <c r="D456" s="10">
        <f ca="1">IFERROR(__xludf.DUMMYFUNCTION("""COMPUTED_VALUE"""),1332607573)</f>
        <v>1332607573</v>
      </c>
      <c r="E456" s="12">
        <f ca="1">IFERROR(__xludf.DUMMYFUNCTION("""COMPUTED_VALUE"""),46281)</f>
        <v>46281</v>
      </c>
      <c r="F456" s="10" t="str">
        <f ca="1">IFERROR(__xludf.DUMMYFUNCTION("""COMPUTED_VALUE"""),"parcel contractual ")</f>
        <v xml:space="preserve">parcel contractual </v>
      </c>
      <c r="G456" s="10" t="str">
        <f ca="1">IFERROR(__xludf.DUMMYFUNCTION("""COMPUTED_VALUE"""),"B2C")</f>
        <v>B2C</v>
      </c>
      <c r="H456" s="10" t="str">
        <f ca="1">IFERROR(__xludf.DUMMYFUNCTION("""COMPUTED_VALUE"""),"DURGA SHANKAR GARASIYA")</f>
        <v>DURGA SHANKAR GARASIYA</v>
      </c>
    </row>
    <row r="457" spans="1:8">
      <c r="A457" s="10">
        <f ca="1">IFERROR(__xludf.DUMMYFUNCTION("""COMPUTED_VALUE"""),28)</f>
        <v>28</v>
      </c>
      <c r="B457" s="10" t="str">
        <f ca="1">IFERROR(__xludf.DUMMYFUNCTION("""COMPUTED_VALUE"""),"Ujjain")</f>
        <v>Ujjain</v>
      </c>
      <c r="C457" s="10" t="str">
        <f ca="1">IFERROR(__xludf.DUMMYFUNCTION("""COMPUTED_VALUE"""),"SARTHAK PURFUME SHAJAPUR")</f>
        <v>SARTHAK PURFUME SHAJAPUR</v>
      </c>
      <c r="D457" s="10">
        <f ca="1">IFERROR(__xludf.DUMMYFUNCTION("""COMPUTED_VALUE"""),1478845372)</f>
        <v>1478845372</v>
      </c>
      <c r="E457" s="12">
        <f ca="1">IFERROR(__xludf.DUMMYFUNCTION("""COMPUTED_VALUE"""),46256)</f>
        <v>46256</v>
      </c>
      <c r="F457" s="10" t="str">
        <f ca="1">IFERROR(__xludf.DUMMYFUNCTION("""COMPUTED_VALUE"""),"parcel contractual ")</f>
        <v xml:space="preserve">parcel contractual </v>
      </c>
      <c r="G457" s="10" t="str">
        <f ca="1">IFERROR(__xludf.DUMMYFUNCTION("""COMPUTED_VALUE"""),"B2C")</f>
        <v>B2C</v>
      </c>
      <c r="H457" s="10" t="str">
        <f ca="1">IFERROR(__xludf.DUMMYFUNCTION("""COMPUTED_VALUE"""),"DURGA SHANKAR GARASIYA")</f>
        <v>DURGA SHANKAR GARASIYA</v>
      </c>
    </row>
    <row r="458" spans="1:8">
      <c r="A458" s="10">
        <f ca="1">IFERROR(__xludf.DUMMYFUNCTION("""COMPUTED_VALUE"""),29)</f>
        <v>29</v>
      </c>
      <c r="B458" s="10" t="str">
        <f ca="1">IFERROR(__xludf.DUMMYFUNCTION("""COMPUTED_VALUE"""),"Ujjain")</f>
        <v>Ujjain</v>
      </c>
      <c r="C458" s="10" t="str">
        <f ca="1">IFERROR(__xludf.DUMMYFUNCTION("""COMPUTED_VALUE"""),"GETSABACUS SHUJALPUR")</f>
        <v>GETSABACUS SHUJALPUR</v>
      </c>
      <c r="D458" s="10">
        <f ca="1">IFERROR(__xludf.DUMMYFUNCTION("""COMPUTED_VALUE"""),1376577863)</f>
        <v>1376577863</v>
      </c>
      <c r="E458" s="12"/>
      <c r="F458" s="10" t="str">
        <f ca="1">IFERROR(__xludf.DUMMYFUNCTION("""COMPUTED_VALUE"""),"ADVANCED CUSTOMER")</f>
        <v>ADVANCED CUSTOMER</v>
      </c>
      <c r="G458" s="10" t="str">
        <f ca="1">IFERROR(__xludf.DUMMYFUNCTION("""COMPUTED_VALUE"""),"B2C")</f>
        <v>B2C</v>
      </c>
      <c r="H458" s="10" t="str">
        <f ca="1">IFERROR(__xludf.DUMMYFUNCTION("""COMPUTED_VALUE"""),"HARSHIT PARMAR")</f>
        <v>HARSHIT PARMAR</v>
      </c>
    </row>
    <row r="459" spans="1:8">
      <c r="A459" s="10">
        <f ca="1">IFERROR(__xludf.DUMMYFUNCTION("""COMPUTED_VALUE"""),30)</f>
        <v>30</v>
      </c>
      <c r="B459" s="10" t="str">
        <f ca="1">IFERROR(__xludf.DUMMYFUNCTION("""COMPUTED_VALUE"""),"Ujjain")</f>
        <v>Ujjain</v>
      </c>
      <c r="C459" s="10" t="str">
        <f ca="1">IFERROR(__xludf.DUMMYFUNCTION("""COMPUTED_VALUE"""),"DIWAN SINGH RAJPUT")</f>
        <v>DIWAN SINGH RAJPUT</v>
      </c>
      <c r="D459" s="10">
        <f ca="1">IFERROR(__xludf.DUMMYFUNCTION("""COMPUTED_VALUE"""),1676139920)</f>
        <v>1676139920</v>
      </c>
      <c r="E459" s="12"/>
      <c r="F459" s="10" t="str">
        <f ca="1">IFERROR(__xludf.DUMMYFUNCTION("""COMPUTED_VALUE"""),"ADVANCED CUSTOMER")</f>
        <v>ADVANCED CUSTOMER</v>
      </c>
      <c r="G459" s="10" t="str">
        <f ca="1">IFERROR(__xludf.DUMMYFUNCTION("""COMPUTED_VALUE"""),"B2C")</f>
        <v>B2C</v>
      </c>
      <c r="H459" s="10" t="str">
        <f ca="1">IFERROR(__xludf.DUMMYFUNCTION("""COMPUTED_VALUE"""),"HARSHIT PARMAR")</f>
        <v>HARSHIT PARMAR</v>
      </c>
    </row>
    <row r="460" spans="1:8">
      <c r="A460" s="10">
        <f ca="1">IFERROR(__xludf.DUMMYFUNCTION("""COMPUTED_VALUE"""),31)</f>
        <v>31</v>
      </c>
      <c r="B460" s="10" t="str">
        <f ca="1">IFERROR(__xludf.DUMMYFUNCTION("""COMPUTED_VALUE"""),"Ujjain")</f>
        <v>Ujjain</v>
      </c>
      <c r="C460" s="10" t="str">
        <f ca="1">IFERROR(__xludf.DUMMYFUNCTION("""COMPUTED_VALUE"""),"SBI POLAI KALAN")</f>
        <v>SBI POLAI KALAN</v>
      </c>
      <c r="D460" s="10">
        <f ca="1">IFERROR(__xludf.DUMMYFUNCTION("""COMPUTED_VALUE"""),1659474901)</f>
        <v>1659474901</v>
      </c>
      <c r="E460" s="12"/>
      <c r="F460" s="10" t="str">
        <f ca="1">IFERROR(__xludf.DUMMYFUNCTION("""COMPUTED_VALUE"""),"BNPL")</f>
        <v>BNPL</v>
      </c>
      <c r="G460" s="10" t="str">
        <f ca="1">IFERROR(__xludf.DUMMYFUNCTION("""COMPUTED_VALUE"""),"B2C")</f>
        <v>B2C</v>
      </c>
      <c r="H460" s="10" t="str">
        <f ca="1">IFERROR(__xludf.DUMMYFUNCTION("""COMPUTED_VALUE"""),"HARSHIT PARMAR")</f>
        <v>HARSHIT PARMAR</v>
      </c>
    </row>
    <row r="461" spans="1:8">
      <c r="A461" s="10">
        <f ca="1">IFERROR(__xludf.DUMMYFUNCTION("""COMPUTED_VALUE"""),32)</f>
        <v>32</v>
      </c>
      <c r="B461" s="10" t="str">
        <f ca="1">IFERROR(__xludf.DUMMYFUNCTION("""COMPUTED_VALUE"""),"Ujjain")</f>
        <v>Ujjain</v>
      </c>
      <c r="C461" s="10" t="str">
        <f ca="1">IFERROR(__xludf.DUMMYFUNCTION("""COMPUTED_VALUE"""),"THE GOLDEN STRAW SALSALAI")</f>
        <v>THE GOLDEN STRAW SALSALAI</v>
      </c>
      <c r="D461" s="10">
        <f ca="1">IFERROR(__xludf.DUMMYFUNCTION("""COMPUTED_VALUE"""),1641489596)</f>
        <v>1641489596</v>
      </c>
      <c r="E461" s="12"/>
      <c r="F461" s="10" t="str">
        <f ca="1">IFERROR(__xludf.DUMMYFUNCTION("""COMPUTED_VALUE"""),"ADVANCED CUSTOMER")</f>
        <v>ADVANCED CUSTOMER</v>
      </c>
      <c r="G461" s="10" t="str">
        <f ca="1">IFERROR(__xludf.DUMMYFUNCTION("""COMPUTED_VALUE"""),"B2C")</f>
        <v>B2C</v>
      </c>
      <c r="H461" s="10" t="str">
        <f ca="1">IFERROR(__xludf.DUMMYFUNCTION("""COMPUTED_VALUE"""),"HARSHIT PARMAR")</f>
        <v>HARSHIT PARMAR</v>
      </c>
    </row>
    <row r="462" spans="1:8">
      <c r="A462" s="10">
        <f ca="1">IFERROR(__xludf.DUMMYFUNCTION("""COMPUTED_VALUE"""),33)</f>
        <v>33</v>
      </c>
      <c r="B462" s="10" t="str">
        <f ca="1">IFERROR(__xludf.DUMMYFUNCTION("""COMPUTED_VALUE"""),"Ujjain")</f>
        <v>Ujjain</v>
      </c>
      <c r="C462" s="10" t="str">
        <f ca="1">IFERROR(__xludf.DUMMYFUNCTION("""COMPUTED_VALUE"""),"BANK OF INDIA SHUJALPUR")</f>
        <v>BANK OF INDIA SHUJALPUR</v>
      </c>
      <c r="D462" s="10">
        <f ca="1">IFERROR(__xludf.DUMMYFUNCTION("""COMPUTED_VALUE"""),1489575716)</f>
        <v>1489575716</v>
      </c>
      <c r="E462" s="12"/>
      <c r="F462" s="10" t="str">
        <f ca="1">IFERROR(__xludf.DUMMYFUNCTION("""COMPUTED_VALUE"""),"BNPL")</f>
        <v>BNPL</v>
      </c>
      <c r="G462" s="10" t="str">
        <f ca="1">IFERROR(__xludf.DUMMYFUNCTION("""COMPUTED_VALUE"""),"B2C")</f>
        <v>B2C</v>
      </c>
      <c r="H462" s="10" t="str">
        <f ca="1">IFERROR(__xludf.DUMMYFUNCTION("""COMPUTED_VALUE"""),"HARSHIT PARMAR")</f>
        <v>HARSHIT PARMAR</v>
      </c>
    </row>
    <row r="463" spans="1:8">
      <c r="A463" s="10">
        <f ca="1">IFERROR(__xludf.DUMMYFUNCTION("""COMPUTED_VALUE"""),34)</f>
        <v>34</v>
      </c>
      <c r="B463" s="10" t="str">
        <f ca="1">IFERROR(__xludf.DUMMYFUNCTION("""COMPUTED_VALUE"""),"Ujjain")</f>
        <v>Ujjain</v>
      </c>
      <c r="C463" s="10" t="str">
        <f ca="1">IFERROR(__xludf.DUMMYFUNCTION("""COMPUTED_VALUE"""),"MANISH VISHWAKARMA, SHUJALPUR")</f>
        <v>MANISH VISHWAKARMA, SHUJALPUR</v>
      </c>
      <c r="D463" s="10">
        <f ca="1">IFERROR(__xludf.DUMMYFUNCTION("""COMPUTED_VALUE"""),1351269580)</f>
        <v>1351269580</v>
      </c>
      <c r="E463" s="12"/>
      <c r="F463" s="10" t="str">
        <f ca="1">IFERROR(__xludf.DUMMYFUNCTION("""COMPUTED_VALUE"""),"ADVANCED CUSTOMER")</f>
        <v>ADVANCED CUSTOMER</v>
      </c>
      <c r="G463" s="10" t="str">
        <f ca="1">IFERROR(__xludf.DUMMYFUNCTION("""COMPUTED_VALUE"""),"B2C")</f>
        <v>B2C</v>
      </c>
      <c r="H463" s="10" t="str">
        <f ca="1">IFERROR(__xludf.DUMMYFUNCTION("""COMPUTED_VALUE"""),"HARSHIT PARMAR")</f>
        <v>HARSHIT PARMAR</v>
      </c>
    </row>
    <row r="464" spans="1:8">
      <c r="A464" s="10">
        <f ca="1">IFERROR(__xludf.DUMMYFUNCTION("""COMPUTED_VALUE"""),35)</f>
        <v>35</v>
      </c>
      <c r="B464" s="10" t="str">
        <f ca="1">IFERROR(__xludf.DUMMYFUNCTION("""COMPUTED_VALUE"""),"Ujjain")</f>
        <v>Ujjain</v>
      </c>
      <c r="C464" s="10" t="str">
        <f ca="1">IFERROR(__xludf.DUMMYFUNCTION("""COMPUTED_VALUE"""),"Virendra pa")</f>
        <v>Virendra pa</v>
      </c>
      <c r="D464" s="10">
        <f ca="1">IFERROR(__xludf.DUMMYFUNCTION("""COMPUTED_VALUE"""),1142829004)</f>
        <v>1142829004</v>
      </c>
      <c r="E464" s="12">
        <f ca="1">IFERROR(__xludf.DUMMYFUNCTION("""COMPUTED_VALUE"""),46134)</f>
        <v>46134</v>
      </c>
      <c r="F464" s="10" t="str">
        <f ca="1">IFERROR(__xludf.DUMMYFUNCTION("""COMPUTED_VALUE"""),"ADVANCED CUSTOMER")</f>
        <v>ADVANCED CUSTOMER</v>
      </c>
      <c r="G464" s="10" t="str">
        <f ca="1">IFERROR(__xludf.DUMMYFUNCTION("""COMPUTED_VALUE"""),"B2C")</f>
        <v>B2C</v>
      </c>
      <c r="H464" s="10" t="str">
        <f ca="1">IFERROR(__xludf.DUMMYFUNCTION("""COMPUTED_VALUE"""),"RAHUL AGRAWAL")</f>
        <v>RAHUL AGRAWAL</v>
      </c>
    </row>
    <row r="465" spans="1:8">
      <c r="A465" s="10">
        <f ca="1">IFERROR(__xludf.DUMMYFUNCTION("""COMPUTED_VALUE"""),36)</f>
        <v>36</v>
      </c>
      <c r="B465" s="10" t="str">
        <f ca="1">IFERROR(__xludf.DUMMYFUNCTION("""COMPUTED_VALUE"""),"Ujjain")</f>
        <v>Ujjain</v>
      </c>
      <c r="C465" s="10" t="str">
        <f ca="1">IFERROR(__xludf.DUMMYFUNCTION("""COMPUTED_VALUE"""),"jay makwana")</f>
        <v>jay makwana</v>
      </c>
      <c r="D465" s="10">
        <f ca="1">IFERROR(__xludf.DUMMYFUNCTION("""COMPUTED_VALUE"""),1186471925)</f>
        <v>1186471925</v>
      </c>
      <c r="E465" s="12">
        <f ca="1">IFERROR(__xludf.DUMMYFUNCTION("""COMPUTED_VALUE"""),46133)</f>
        <v>46133</v>
      </c>
      <c r="F465" s="10" t="str">
        <f ca="1">IFERROR(__xludf.DUMMYFUNCTION("""COMPUTED_VALUE"""),"ADVANCED CUSTOMER")</f>
        <v>ADVANCED CUSTOMER</v>
      </c>
      <c r="G465" s="10" t="str">
        <f ca="1">IFERROR(__xludf.DUMMYFUNCTION("""COMPUTED_VALUE"""),"B2C")</f>
        <v>B2C</v>
      </c>
      <c r="H465" s="10" t="str">
        <f ca="1">IFERROR(__xludf.DUMMYFUNCTION("""COMPUTED_VALUE"""),"RAHUL AGRAWAL")</f>
        <v>RAHUL AGRAWAL</v>
      </c>
    </row>
    <row r="466" spans="1:8">
      <c r="A466" s="10">
        <f ca="1">IFERROR(__xludf.DUMMYFUNCTION("""COMPUTED_VALUE"""),37)</f>
        <v>37</v>
      </c>
      <c r="B466" s="10" t="str">
        <f ca="1">IFERROR(__xludf.DUMMYFUNCTION("""COMPUTED_VALUE"""),"Ujjain")</f>
        <v>Ujjain</v>
      </c>
      <c r="C466" s="10" t="str">
        <f ca="1">IFERROR(__xludf.DUMMYFUNCTION("""COMPUTED_VALUE"""),"Divyanshu Khatri")</f>
        <v>Divyanshu Khatri</v>
      </c>
      <c r="D466" s="10">
        <f ca="1">IFERROR(__xludf.DUMMYFUNCTION("""COMPUTED_VALUE"""),1966278010)</f>
        <v>1966278010</v>
      </c>
      <c r="E466" s="12">
        <f ca="1">IFERROR(__xludf.DUMMYFUNCTION("""COMPUTED_VALUE"""),46127)</f>
        <v>46127</v>
      </c>
      <c r="F466" s="10" t="str">
        <f ca="1">IFERROR(__xludf.DUMMYFUNCTION("""COMPUTED_VALUE"""),"ADVANCED CUSTOMER")</f>
        <v>ADVANCED CUSTOMER</v>
      </c>
      <c r="G466" s="10" t="str">
        <f ca="1">IFERROR(__xludf.DUMMYFUNCTION("""COMPUTED_VALUE"""),"B2C")</f>
        <v>B2C</v>
      </c>
      <c r="H466" s="10" t="str">
        <f ca="1">IFERROR(__xludf.DUMMYFUNCTION("""COMPUTED_VALUE"""),"RAHUL AGRAWAL")</f>
        <v>RAHUL AGRAWAL</v>
      </c>
    </row>
    <row r="467" spans="1:8">
      <c r="A467" s="10">
        <f ca="1">IFERROR(__xludf.DUMMYFUNCTION("""COMPUTED_VALUE"""),38)</f>
        <v>38</v>
      </c>
      <c r="B467" s="10" t="str">
        <f ca="1">IFERROR(__xludf.DUMMYFUNCTION("""COMPUTED_VALUE"""),"Ujjain")</f>
        <v>Ujjain</v>
      </c>
      <c r="C467" s="10" t="str">
        <f ca="1">IFERROR(__xludf.DUMMYFUNCTION("""COMPUTED_VALUE"""),"SHRI COLLECTION Customer ID::")</f>
        <v>SHRI COLLECTION Customer ID::</v>
      </c>
      <c r="D467" s="10">
        <f ca="1">IFERROR(__xludf.DUMMYFUNCTION("""COMPUTED_VALUE"""),1869951677)</f>
        <v>1869951677</v>
      </c>
      <c r="E467" s="12">
        <f ca="1">IFERROR(__xludf.DUMMYFUNCTION("""COMPUTED_VALUE"""),46125)</f>
        <v>46125</v>
      </c>
      <c r="F467" s="10" t="str">
        <f ca="1">IFERROR(__xludf.DUMMYFUNCTION("""COMPUTED_VALUE"""),"ADVANCED CUSTOMER")</f>
        <v>ADVANCED CUSTOMER</v>
      </c>
      <c r="G467" s="10" t="str">
        <f ca="1">IFERROR(__xludf.DUMMYFUNCTION("""COMPUTED_VALUE"""),"B2C")</f>
        <v>B2C</v>
      </c>
      <c r="H467" s="10" t="str">
        <f ca="1">IFERROR(__xludf.DUMMYFUNCTION("""COMPUTED_VALUE"""),"RAHUL AGRAWAL")</f>
        <v>RAHUL AGRAWAL</v>
      </c>
    </row>
    <row r="468" spans="1:8">
      <c r="A468" s="10">
        <f ca="1">IFERROR(__xludf.DUMMYFUNCTION("""COMPUTED_VALUE"""),39)</f>
        <v>39</v>
      </c>
      <c r="B468" s="10" t="str">
        <f ca="1">IFERROR(__xludf.DUMMYFUNCTION("""COMPUTED_VALUE"""),"Ujjain")</f>
        <v>Ujjain</v>
      </c>
      <c r="C468" s="10" t="str">
        <f ca="1">IFERROR(__xludf.DUMMYFUNCTION("""COMPUTED_VALUE"""),"MOHIT SINGH PANWAR")</f>
        <v>MOHIT SINGH PANWAR</v>
      </c>
      <c r="D468" s="10">
        <f ca="1">IFERROR(__xludf.DUMMYFUNCTION("""COMPUTED_VALUE"""),1132441153)</f>
        <v>1132441153</v>
      </c>
      <c r="E468" s="12">
        <f ca="1">IFERROR(__xludf.DUMMYFUNCTION("""COMPUTED_VALUE"""),46123)</f>
        <v>46123</v>
      </c>
      <c r="F468" s="10" t="str">
        <f ca="1">IFERROR(__xludf.DUMMYFUNCTION("""COMPUTED_VALUE"""),"ADVANCED CUSTOMER")</f>
        <v>ADVANCED CUSTOMER</v>
      </c>
      <c r="G468" s="10" t="str">
        <f ca="1">IFERROR(__xludf.DUMMYFUNCTION("""COMPUTED_VALUE"""),"B2C")</f>
        <v>B2C</v>
      </c>
      <c r="H468" s="10" t="str">
        <f ca="1">IFERROR(__xludf.DUMMYFUNCTION("""COMPUTED_VALUE"""),"RAHUL AGRAWAL")</f>
        <v>RAHUL AGRAWAL</v>
      </c>
    </row>
    <row r="469" spans="1:8">
      <c r="A469" s="10">
        <f ca="1">IFERROR(__xludf.DUMMYFUNCTION("""COMPUTED_VALUE"""),40)</f>
        <v>40</v>
      </c>
      <c r="B469" s="10" t="str">
        <f ca="1">IFERROR(__xludf.DUMMYFUNCTION("""COMPUTED_VALUE"""),"Ujjain")</f>
        <v>Ujjain</v>
      </c>
      <c r="C469" s="10" t="str">
        <f ca="1">IFERROR(__xludf.DUMMYFUNCTION("""COMPUTED_VALUE"""),"ANIKET AGRAWAL")</f>
        <v>ANIKET AGRAWAL</v>
      </c>
      <c r="D469" s="10">
        <f ca="1">IFERROR(__xludf.DUMMYFUNCTION("""COMPUTED_VALUE"""),1307425262)</f>
        <v>1307425262</v>
      </c>
      <c r="E469" s="12">
        <f ca="1">IFERROR(__xludf.DUMMYFUNCTION("""COMPUTED_VALUE"""),46122)</f>
        <v>46122</v>
      </c>
      <c r="F469" s="10" t="str">
        <f ca="1">IFERROR(__xludf.DUMMYFUNCTION("""COMPUTED_VALUE"""),"ADVANCED CUSTOMER")</f>
        <v>ADVANCED CUSTOMER</v>
      </c>
      <c r="G469" s="10" t="str">
        <f ca="1">IFERROR(__xludf.DUMMYFUNCTION("""COMPUTED_VALUE"""),"B2C")</f>
        <v>B2C</v>
      </c>
      <c r="H469" s="10" t="str">
        <f ca="1">IFERROR(__xludf.DUMMYFUNCTION("""COMPUTED_VALUE"""),"RAHUL AGRAWAL")</f>
        <v>RAHUL AGRAWAL</v>
      </c>
    </row>
    <row r="470" spans="1:8">
      <c r="A470" s="10">
        <f ca="1">IFERROR(__xludf.DUMMYFUNCTION("""COMPUTED_VALUE"""),41)</f>
        <v>41</v>
      </c>
      <c r="B470" s="10" t="str">
        <f ca="1">IFERROR(__xludf.DUMMYFUNCTION("""COMPUTED_VALUE"""),"Ujjain")</f>
        <v>Ujjain</v>
      </c>
      <c r="C470" s="10" t="str">
        <f ca="1">IFERROR(__xludf.DUMMYFUNCTION("""COMPUTED_VALUE"""),"KUNWAR SA WEDDING STORE")</f>
        <v>KUNWAR SA WEDDING STORE</v>
      </c>
      <c r="D470" s="10">
        <f ca="1">IFERROR(__xludf.DUMMYFUNCTION("""COMPUTED_VALUE"""),1663820107)</f>
        <v>1663820107</v>
      </c>
      <c r="E470" s="12">
        <f ca="1">IFERROR(__xludf.DUMMYFUNCTION("""COMPUTED_VALUE"""),46121)</f>
        <v>46121</v>
      </c>
      <c r="F470" s="10" t="str">
        <f ca="1">IFERROR(__xludf.DUMMYFUNCTION("""COMPUTED_VALUE"""),"ADVANCED CUSTOMER")</f>
        <v>ADVANCED CUSTOMER</v>
      </c>
      <c r="G470" s="10" t="str">
        <f ca="1">IFERROR(__xludf.DUMMYFUNCTION("""COMPUTED_VALUE"""),"B2C")</f>
        <v>B2C</v>
      </c>
      <c r="H470" s="10" t="str">
        <f ca="1">IFERROR(__xludf.DUMMYFUNCTION("""COMPUTED_VALUE"""),"RAHUL AGRAWAL")</f>
        <v>RAHUL AGRAWAL</v>
      </c>
    </row>
    <row r="471" spans="1:8">
      <c r="A471" s="10">
        <f ca="1">IFERROR(__xludf.DUMMYFUNCTION("""COMPUTED_VALUE"""),42)</f>
        <v>42</v>
      </c>
      <c r="B471" s="10" t="str">
        <f ca="1">IFERROR(__xludf.DUMMYFUNCTION("""COMPUTED_VALUE"""),"Ujjain")</f>
        <v>Ujjain</v>
      </c>
      <c r="C471" s="10" t="str">
        <f ca="1">IFERROR(__xludf.DUMMYFUNCTION("""COMPUTED_VALUE"""),"TANA BANA BOUTIQUE")</f>
        <v>TANA BANA BOUTIQUE</v>
      </c>
      <c r="D471" s="10">
        <f ca="1">IFERROR(__xludf.DUMMYFUNCTION("""COMPUTED_VALUE"""),1988426117)</f>
        <v>1988426117</v>
      </c>
      <c r="E471" s="12">
        <f ca="1">IFERROR(__xludf.DUMMYFUNCTION("""COMPUTED_VALUE"""),46114)</f>
        <v>46114</v>
      </c>
      <c r="F471" s="10" t="str">
        <f ca="1">IFERROR(__xludf.DUMMYFUNCTION("""COMPUTED_VALUE"""),"ADVANCED CUSTOMER")</f>
        <v>ADVANCED CUSTOMER</v>
      </c>
      <c r="G471" s="10" t="str">
        <f ca="1">IFERROR(__xludf.DUMMYFUNCTION("""COMPUTED_VALUE"""),"B2C")</f>
        <v>B2C</v>
      </c>
      <c r="H471" s="10" t="str">
        <f ca="1">IFERROR(__xludf.DUMMYFUNCTION("""COMPUTED_VALUE"""),"RAHUL AGRAWAL")</f>
        <v>RAHUL AGRAWAL</v>
      </c>
    </row>
    <row r="472" spans="1:8">
      <c r="A472" s="10">
        <f ca="1">IFERROR(__xludf.DUMMYFUNCTION("""COMPUTED_VALUE"""),43)</f>
        <v>43</v>
      </c>
      <c r="B472" s="10" t="str">
        <f ca="1">IFERROR(__xludf.DUMMYFUNCTION("""COMPUTED_VALUE"""),"Ujjain")</f>
        <v>Ujjain</v>
      </c>
      <c r="C472" s="10" t="str">
        <f ca="1">IFERROR(__xludf.DUMMYFUNCTION("""COMPUTED_VALUE"""),"DESIALCHEMIST")</f>
        <v>DESIALCHEMIST</v>
      </c>
      <c r="D472" s="10">
        <f ca="1">IFERROR(__xludf.DUMMYFUNCTION("""COMPUTED_VALUE"""),1623792749)</f>
        <v>1623792749</v>
      </c>
      <c r="E472" s="12">
        <f ca="1">IFERROR(__xludf.DUMMYFUNCTION("""COMPUTED_VALUE"""),46156)</f>
        <v>46156</v>
      </c>
      <c r="F472" s="10" t="str">
        <f ca="1">IFERROR(__xludf.DUMMYFUNCTION("""COMPUTED_VALUE"""),"ADVANCED CUSTOMER")</f>
        <v>ADVANCED CUSTOMER</v>
      </c>
      <c r="G472" s="10" t="str">
        <f ca="1">IFERROR(__xludf.DUMMYFUNCTION("""COMPUTED_VALUE"""),"B2C")</f>
        <v>B2C</v>
      </c>
      <c r="H472" s="10" t="str">
        <f ca="1">IFERROR(__xludf.DUMMYFUNCTION("""COMPUTED_VALUE"""),"RAHUL AGRAWAL")</f>
        <v>RAHUL AGRAWAL</v>
      </c>
    </row>
    <row r="473" spans="1:8">
      <c r="A473" s="10">
        <f ca="1">IFERROR(__xludf.DUMMYFUNCTION("""COMPUTED_VALUE"""),44)</f>
        <v>44</v>
      </c>
      <c r="B473" s="10" t="str">
        <f ca="1">IFERROR(__xludf.DUMMYFUNCTION("""COMPUTED_VALUE"""),"Ujjain")</f>
        <v>Ujjain</v>
      </c>
      <c r="C473" s="10" t="str">
        <f ca="1">IFERROR(__xludf.DUMMYFUNCTION("""COMPUTED_VALUE"""),"PARWATI HANDLOOM")</f>
        <v>PARWATI HANDLOOM</v>
      </c>
      <c r="D473" s="10">
        <f ca="1">IFERROR(__xludf.DUMMYFUNCTION("""COMPUTED_VALUE"""),1391029143)</f>
        <v>1391029143</v>
      </c>
      <c r="E473" s="12">
        <f ca="1">IFERROR(__xludf.DUMMYFUNCTION("""COMPUTED_VALUE"""),46191)</f>
        <v>46191</v>
      </c>
      <c r="F473" s="10" t="str">
        <f ca="1">IFERROR(__xludf.DUMMYFUNCTION("""COMPUTED_VALUE"""),"ADVANCED CUSTOMER")</f>
        <v>ADVANCED CUSTOMER</v>
      </c>
      <c r="G473" s="10" t="str">
        <f ca="1">IFERROR(__xludf.DUMMYFUNCTION("""COMPUTED_VALUE"""),"B2C")</f>
        <v>B2C</v>
      </c>
      <c r="H473" s="10" t="str">
        <f ca="1">IFERROR(__xludf.DUMMYFUNCTION("""COMPUTED_VALUE"""),"RAHUL AGRAWAL")</f>
        <v>RAHUL AGRAWAL</v>
      </c>
    </row>
    <row r="474" spans="1:8">
      <c r="A474" s="10">
        <f ca="1">IFERROR(__xludf.DUMMYFUNCTION("""COMPUTED_VALUE"""),45)</f>
        <v>45</v>
      </c>
      <c r="B474" s="10" t="str">
        <f ca="1">IFERROR(__xludf.DUMMYFUNCTION("""COMPUTED_VALUE"""),"Ujjain")</f>
        <v>Ujjain</v>
      </c>
      <c r="C474" s="10" t="str">
        <f ca="1">IFERROR(__xludf.DUMMYFUNCTION("""COMPUTED_VALUE"""),"KAMAL PATIDAR")</f>
        <v>KAMAL PATIDAR</v>
      </c>
      <c r="D474" s="10">
        <f ca="1">IFERROR(__xludf.DUMMYFUNCTION("""COMPUTED_VALUE"""),1383939345)</f>
        <v>1383939345</v>
      </c>
      <c r="E474" s="12">
        <f ca="1">IFERROR(__xludf.DUMMYFUNCTION("""COMPUTED_VALUE"""),46232)</f>
        <v>46232</v>
      </c>
      <c r="F474" s="10" t="str">
        <f ca="1">IFERROR(__xludf.DUMMYFUNCTION("""COMPUTED_VALUE"""),"ADVANCED CUSTOMER")</f>
        <v>ADVANCED CUSTOMER</v>
      </c>
      <c r="G474" s="10" t="str">
        <f ca="1">IFERROR(__xludf.DUMMYFUNCTION("""COMPUTED_VALUE"""),"B2C")</f>
        <v>B2C</v>
      </c>
      <c r="H474" s="10" t="str">
        <f ca="1">IFERROR(__xludf.DUMMYFUNCTION("""COMPUTED_VALUE"""),"RAHUL AGRAWAL")</f>
        <v>RAHUL AGRAWAL</v>
      </c>
    </row>
    <row r="475" spans="1:8">
      <c r="A475" s="10">
        <f ca="1">IFERROR(__xludf.DUMMYFUNCTION("""COMPUTED_VALUE"""),46)</f>
        <v>46</v>
      </c>
      <c r="B475" s="10" t="str">
        <f ca="1">IFERROR(__xludf.DUMMYFUNCTION("""COMPUTED_VALUE"""),"Ujjain")</f>
        <v>Ujjain</v>
      </c>
      <c r="C475" s="10" t="str">
        <f ca="1">IFERROR(__xludf.DUMMYFUNCTION("""COMPUTED_VALUE"""),"ROOP SHREE FASHION")</f>
        <v>ROOP SHREE FASHION</v>
      </c>
      <c r="D475" s="10">
        <f ca="1">IFERROR(__xludf.DUMMYFUNCTION("""COMPUTED_VALUE"""),1162813223)</f>
        <v>1162813223</v>
      </c>
      <c r="E475" s="12">
        <f ca="1">IFERROR(__xludf.DUMMYFUNCTION("""COMPUTED_VALUE"""),46230)</f>
        <v>46230</v>
      </c>
      <c r="F475" s="10" t="str">
        <f ca="1">IFERROR(__xludf.DUMMYFUNCTION("""COMPUTED_VALUE"""),"ADVANCED CUSTOMER")</f>
        <v>ADVANCED CUSTOMER</v>
      </c>
      <c r="G475" s="10" t="str">
        <f ca="1">IFERROR(__xludf.DUMMYFUNCTION("""COMPUTED_VALUE"""),"B2C")</f>
        <v>B2C</v>
      </c>
      <c r="H475" s="10" t="str">
        <f ca="1">IFERROR(__xludf.DUMMYFUNCTION("""COMPUTED_VALUE"""),"RAHUL AGRAWAL")</f>
        <v>RAHUL AGRAWAL</v>
      </c>
    </row>
    <row r="476" spans="1:8">
      <c r="A476" s="10">
        <f ca="1">IFERROR(__xludf.DUMMYFUNCTION("""COMPUTED_VALUE"""),47)</f>
        <v>47</v>
      </c>
      <c r="B476" s="10" t="str">
        <f ca="1">IFERROR(__xludf.DUMMYFUNCTION("""COMPUTED_VALUE"""),"Ujjain")</f>
        <v>Ujjain</v>
      </c>
      <c r="C476" s="10" t="str">
        <f ca="1">IFERROR(__xludf.DUMMYFUNCTION("""COMPUTED_VALUE"""),"YASH RATHORE")</f>
        <v>YASH RATHORE</v>
      </c>
      <c r="D476" s="10">
        <f ca="1">IFERROR(__xludf.DUMMYFUNCTION("""COMPUTED_VALUE"""),1899199860)</f>
        <v>1899199860</v>
      </c>
      <c r="E476" s="12">
        <f ca="1">IFERROR(__xludf.DUMMYFUNCTION("""COMPUTED_VALUE"""),46230)</f>
        <v>46230</v>
      </c>
      <c r="F476" s="10" t="str">
        <f ca="1">IFERROR(__xludf.DUMMYFUNCTION("""COMPUTED_VALUE"""),"ADVANCED CUSTOMER")</f>
        <v>ADVANCED CUSTOMER</v>
      </c>
      <c r="G476" s="10" t="str">
        <f ca="1">IFERROR(__xludf.DUMMYFUNCTION("""COMPUTED_VALUE"""),"B2C")</f>
        <v>B2C</v>
      </c>
      <c r="H476" s="10" t="str">
        <f ca="1">IFERROR(__xludf.DUMMYFUNCTION("""COMPUTED_VALUE"""),"RAHUL AGRAWAL")</f>
        <v>RAHUL AGRAWAL</v>
      </c>
    </row>
    <row r="477" spans="1:8">
      <c r="A477" s="10">
        <f ca="1">IFERROR(__xludf.DUMMYFUNCTION("""COMPUTED_VALUE"""),48)</f>
        <v>48</v>
      </c>
      <c r="B477" s="10" t="str">
        <f ca="1">IFERROR(__xludf.DUMMYFUNCTION("""COMPUTED_VALUE"""),"Ujjain")</f>
        <v>Ujjain</v>
      </c>
      <c r="C477" s="10" t="str">
        <f ca="1">IFERROR(__xludf.DUMMYFUNCTION("""COMPUTED_VALUE"""),"SBI MAHANANDA NAGAR")</f>
        <v>SBI MAHANANDA NAGAR</v>
      </c>
      <c r="D477" s="10">
        <f ca="1">IFERROR(__xludf.DUMMYFUNCTION("""COMPUTED_VALUE"""),1867127690)</f>
        <v>1867127690</v>
      </c>
      <c r="E477" s="12">
        <f ca="1">IFERROR(__xludf.DUMMYFUNCTION("""COMPUTED_VALUE"""),46227)</f>
        <v>46227</v>
      </c>
      <c r="F477" s="10" t="str">
        <f ca="1">IFERROR(__xludf.DUMMYFUNCTION("""COMPUTED_VALUE"""),"ADVANCED CUSTOMER")</f>
        <v>ADVANCED CUSTOMER</v>
      </c>
      <c r="G477" s="10" t="str">
        <f ca="1">IFERROR(__xludf.DUMMYFUNCTION("""COMPUTED_VALUE"""),"B2C")</f>
        <v>B2C</v>
      </c>
      <c r="H477" s="10" t="str">
        <f ca="1">IFERROR(__xludf.DUMMYFUNCTION("""COMPUTED_VALUE"""),"RAHUL AGRAWAL")</f>
        <v>RAHUL AGRAWAL</v>
      </c>
    </row>
    <row r="478" spans="1:8">
      <c r="A478" s="10">
        <f ca="1">IFERROR(__xludf.DUMMYFUNCTION("""COMPUTED_VALUE"""),49)</f>
        <v>49</v>
      </c>
      <c r="B478" s="10" t="str">
        <f ca="1">IFERROR(__xludf.DUMMYFUNCTION("""COMPUTED_VALUE"""),"Ujjain")</f>
        <v>Ujjain</v>
      </c>
      <c r="C478" s="10" t="str">
        <f ca="1">IFERROR(__xludf.DUMMYFUNCTION("""COMPUTED_VALUE"""),"PRIT UNDER GARMENTS")</f>
        <v>PRIT UNDER GARMENTS</v>
      </c>
      <c r="D478" s="10">
        <f ca="1">IFERROR(__xludf.DUMMYFUNCTION("""COMPUTED_VALUE"""),1708800018)</f>
        <v>1708800018</v>
      </c>
      <c r="E478" s="12">
        <f ca="1">IFERROR(__xludf.DUMMYFUNCTION("""COMPUTED_VALUE"""),46227)</f>
        <v>46227</v>
      </c>
      <c r="F478" s="10" t="str">
        <f ca="1">IFERROR(__xludf.DUMMYFUNCTION("""COMPUTED_VALUE"""),"ADVANCED CUSTOMER")</f>
        <v>ADVANCED CUSTOMER</v>
      </c>
      <c r="G478" s="10" t="str">
        <f ca="1">IFERROR(__xludf.DUMMYFUNCTION("""COMPUTED_VALUE"""),"B2C")</f>
        <v>B2C</v>
      </c>
      <c r="H478" s="10" t="str">
        <f ca="1">IFERROR(__xludf.DUMMYFUNCTION("""COMPUTED_VALUE"""),"RAHUL AGRAWAL")</f>
        <v>RAHUL AGRAWAL</v>
      </c>
    </row>
    <row r="479" spans="1:8">
      <c r="A479" s="10">
        <f ca="1">IFERROR(__xludf.DUMMYFUNCTION("""COMPUTED_VALUE"""),50)</f>
        <v>50</v>
      </c>
      <c r="B479" s="10" t="str">
        <f ca="1">IFERROR(__xludf.DUMMYFUNCTION("""COMPUTED_VALUE"""),"Ujjain")</f>
        <v>Ujjain</v>
      </c>
      <c r="C479" s="10" t="str">
        <f ca="1">IFERROR(__xludf.DUMMYFUNCTION("""COMPUTED_VALUE"""),"JODHPUR RAJWADI COLLECTION")</f>
        <v>JODHPUR RAJWADI COLLECTION</v>
      </c>
      <c r="D479" s="10">
        <f ca="1">IFERROR(__xludf.DUMMYFUNCTION("""COMPUTED_VALUE"""),1335749271)</f>
        <v>1335749271</v>
      </c>
      <c r="E479" s="12">
        <f ca="1">IFERROR(__xludf.DUMMYFUNCTION("""COMPUTED_VALUE"""),46227)</f>
        <v>46227</v>
      </c>
      <c r="F479" s="10" t="str">
        <f ca="1">IFERROR(__xludf.DUMMYFUNCTION("""COMPUTED_VALUE"""),"ADVANCED CUSTOMER")</f>
        <v>ADVANCED CUSTOMER</v>
      </c>
      <c r="G479" s="10" t="str">
        <f ca="1">IFERROR(__xludf.DUMMYFUNCTION("""COMPUTED_VALUE"""),"B2C")</f>
        <v>B2C</v>
      </c>
      <c r="H479" s="10" t="str">
        <f ca="1">IFERROR(__xludf.DUMMYFUNCTION("""COMPUTED_VALUE"""),"RAHUL AGRAWAL")</f>
        <v>RAHUL AGRAWAL</v>
      </c>
    </row>
    <row r="480" spans="1:8">
      <c r="A480" s="10">
        <f ca="1">IFERROR(__xludf.DUMMYFUNCTION("""COMPUTED_VALUE"""),51)</f>
        <v>51</v>
      </c>
      <c r="B480" s="10" t="str">
        <f ca="1">IFERROR(__xludf.DUMMYFUNCTION("""COMPUTED_VALUE"""),"Ujjain")</f>
        <v>Ujjain</v>
      </c>
      <c r="C480" s="10" t="str">
        <f ca="1">IFERROR(__xludf.DUMMYFUNCTION("""COMPUTED_VALUE"""),"sanwariya saree")</f>
        <v>sanwariya saree</v>
      </c>
      <c r="D480" s="10">
        <f ca="1">IFERROR(__xludf.DUMMYFUNCTION("""COMPUTED_VALUE"""),1460633025)</f>
        <v>1460633025</v>
      </c>
      <c r="E480" s="12">
        <f ca="1">IFERROR(__xludf.DUMMYFUNCTION("""COMPUTED_VALUE"""),46220)</f>
        <v>46220</v>
      </c>
      <c r="F480" s="10" t="str">
        <f ca="1">IFERROR(__xludf.DUMMYFUNCTION("""COMPUTED_VALUE"""),"ADVANCED CUSTOMER")</f>
        <v>ADVANCED CUSTOMER</v>
      </c>
      <c r="G480" s="10" t="str">
        <f ca="1">IFERROR(__xludf.DUMMYFUNCTION("""COMPUTED_VALUE"""),"B2C")</f>
        <v>B2C</v>
      </c>
      <c r="H480" s="10" t="str">
        <f ca="1">IFERROR(__xludf.DUMMYFUNCTION("""COMPUTED_VALUE"""),"RAHUL AGRAWAL")</f>
        <v>RAHUL AGRAWAL</v>
      </c>
    </row>
    <row r="481" spans="1:8">
      <c r="A481" s="10">
        <f ca="1">IFERROR(__xludf.DUMMYFUNCTION("""COMPUTED_VALUE"""),52)</f>
        <v>52</v>
      </c>
      <c r="B481" s="10" t="str">
        <f ca="1">IFERROR(__xludf.DUMMYFUNCTION("""COMPUTED_VALUE"""),"Ujjain")</f>
        <v>Ujjain</v>
      </c>
      <c r="C481" s="10" t="str">
        <f ca="1">IFERROR(__xludf.DUMMYFUNCTION("""COMPUTED_VALUE"""),"MOHAMMAD IMRAN")</f>
        <v>MOHAMMAD IMRAN</v>
      </c>
      <c r="D481" s="10">
        <f ca="1">IFERROR(__xludf.DUMMYFUNCTION("""COMPUTED_VALUE"""),1667662551)</f>
        <v>1667662551</v>
      </c>
      <c r="E481" s="12">
        <f ca="1">IFERROR(__xludf.DUMMYFUNCTION("""COMPUTED_VALUE"""),46210)</f>
        <v>46210</v>
      </c>
      <c r="F481" s="10" t="str">
        <f ca="1">IFERROR(__xludf.DUMMYFUNCTION("""COMPUTED_VALUE"""),"ADVANCED CUSTOMER")</f>
        <v>ADVANCED CUSTOMER</v>
      </c>
      <c r="G481" s="10" t="str">
        <f ca="1">IFERROR(__xludf.DUMMYFUNCTION("""COMPUTED_VALUE"""),"B2C")</f>
        <v>B2C</v>
      </c>
      <c r="H481" s="10" t="str">
        <f ca="1">IFERROR(__xludf.DUMMYFUNCTION("""COMPUTED_VALUE"""),"RAHUL AGRAWAL")</f>
        <v>RAHUL AGRAWAL</v>
      </c>
    </row>
    <row r="482" spans="1:8">
      <c r="A482" s="10">
        <f ca="1">IFERROR(__xludf.DUMMYFUNCTION("""COMPUTED_VALUE"""),53)</f>
        <v>53</v>
      </c>
      <c r="B482" s="10" t="str">
        <f ca="1">IFERROR(__xludf.DUMMYFUNCTION("""COMPUTED_VALUE"""),"Ujjain")</f>
        <v>Ujjain</v>
      </c>
      <c r="C482" s="10" t="str">
        <f ca="1">IFERROR(__xludf.DUMMYFUNCTION("""COMPUTED_VALUE"""),"MAHAKAL ASTRO OPC PRIVATE LIMITED")</f>
        <v>MAHAKAL ASTRO OPC PRIVATE LIMITED</v>
      </c>
      <c r="D482" s="10">
        <f ca="1">IFERROR(__xludf.DUMMYFUNCTION("""COMPUTED_VALUE"""),1508151735)</f>
        <v>1508151735</v>
      </c>
      <c r="E482" s="12">
        <f ca="1">IFERROR(__xludf.DUMMYFUNCTION("""COMPUTED_VALUE"""),46205)</f>
        <v>46205</v>
      </c>
      <c r="F482" s="10" t="str">
        <f ca="1">IFERROR(__xludf.DUMMYFUNCTION("""COMPUTED_VALUE"""),"ADVANCED CUSTOMER")</f>
        <v>ADVANCED CUSTOMER</v>
      </c>
      <c r="G482" s="10" t="str">
        <f ca="1">IFERROR(__xludf.DUMMYFUNCTION("""COMPUTED_VALUE"""),"B2C")</f>
        <v>B2C</v>
      </c>
      <c r="H482" s="10" t="str">
        <f ca="1">IFERROR(__xludf.DUMMYFUNCTION("""COMPUTED_VALUE"""),"RAHUL AGRAWAL")</f>
        <v>RAHUL AGRAWAL</v>
      </c>
    </row>
    <row r="483" spans="1:8">
      <c r="A483" s="10">
        <f ca="1">IFERROR(__xludf.DUMMYFUNCTION("""COMPUTED_VALUE"""),54)</f>
        <v>54</v>
      </c>
      <c r="B483" s="10" t="str">
        <f ca="1">IFERROR(__xludf.DUMMYFUNCTION("""COMPUTED_VALUE"""),"Ujjain")</f>
        <v>Ujjain</v>
      </c>
      <c r="C483" s="10" t="str">
        <f ca="1">IFERROR(__xludf.DUMMYFUNCTION("""COMPUTED_VALUE"""),"AARADHYA BAIRAGI")</f>
        <v>AARADHYA BAIRAGI</v>
      </c>
      <c r="D483" s="10">
        <f ca="1">IFERROR(__xludf.DUMMYFUNCTION("""COMPUTED_VALUE"""),1573199310)</f>
        <v>1573199310</v>
      </c>
      <c r="E483" s="12">
        <f ca="1">IFERROR(__xludf.DUMMYFUNCTION("""COMPUTED_VALUE"""),46237)</f>
        <v>46237</v>
      </c>
      <c r="F483" s="10" t="str">
        <f ca="1">IFERROR(__xludf.DUMMYFUNCTION("""COMPUTED_VALUE"""),"ADVANCED CUSTOMER")</f>
        <v>ADVANCED CUSTOMER</v>
      </c>
      <c r="G483" s="10" t="str">
        <f ca="1">IFERROR(__xludf.DUMMYFUNCTION("""COMPUTED_VALUE"""),"B2C")</f>
        <v>B2C</v>
      </c>
      <c r="H483" s="10" t="str">
        <f ca="1">IFERROR(__xludf.DUMMYFUNCTION("""COMPUTED_VALUE"""),"RAHUL AGRAWAL")</f>
        <v>RAHUL AGRAWAL</v>
      </c>
    </row>
    <row r="484" spans="1:8">
      <c r="A484" s="10">
        <f ca="1">IFERROR(__xludf.DUMMYFUNCTION("""COMPUTED_VALUE"""),55)</f>
        <v>55</v>
      </c>
      <c r="B484" s="10" t="str">
        <f ca="1">IFERROR(__xludf.DUMMYFUNCTION("""COMPUTED_VALUE"""),"Ujjain")</f>
        <v>Ujjain</v>
      </c>
      <c r="C484" s="10" t="str">
        <f ca="1">IFERROR(__xludf.DUMMYFUNCTION("""COMPUTED_VALUE"""),"BIGINIT TECHNOLOGIES LLP")</f>
        <v>BIGINIT TECHNOLOGIES LLP</v>
      </c>
      <c r="D484" s="10">
        <f ca="1">IFERROR(__xludf.DUMMYFUNCTION("""COMPUTED_VALUE"""),1879331665)</f>
        <v>1879331665</v>
      </c>
      <c r="E484" s="12">
        <f ca="1">IFERROR(__xludf.DUMMYFUNCTION("""COMPUTED_VALUE"""),46258)</f>
        <v>46258</v>
      </c>
      <c r="F484" s="10" t="str">
        <f ca="1">IFERROR(__xludf.DUMMYFUNCTION("""COMPUTED_VALUE"""),"ADVANCED CUSTOMER")</f>
        <v>ADVANCED CUSTOMER</v>
      </c>
      <c r="G484" s="10" t="str">
        <f ca="1">IFERROR(__xludf.DUMMYFUNCTION("""COMPUTED_VALUE"""),"B2C")</f>
        <v>B2C</v>
      </c>
      <c r="H484" s="10" t="str">
        <f ca="1">IFERROR(__xludf.DUMMYFUNCTION("""COMPUTED_VALUE"""),"RAHUL AGRAWAL")</f>
        <v>RAHUL AGRAWAL</v>
      </c>
    </row>
    <row r="485" spans="1:8">
      <c r="A485" s="10">
        <f ca="1">IFERROR(__xludf.DUMMYFUNCTION("""COMPUTED_VALUE"""),56)</f>
        <v>56</v>
      </c>
      <c r="B485" s="10" t="str">
        <f ca="1">IFERROR(__xludf.DUMMYFUNCTION("""COMPUTED_VALUE"""),"Ujjain")</f>
        <v>Ujjain</v>
      </c>
      <c r="C485" s="10" t="str">
        <f ca="1">IFERROR(__xludf.DUMMYFUNCTION("""COMPUTED_VALUE"""),"Mahalaxmi Collection")</f>
        <v>Mahalaxmi Collection</v>
      </c>
      <c r="D485" s="10">
        <f ca="1">IFERROR(__xludf.DUMMYFUNCTION("""COMPUTED_VALUE"""),1871553759)</f>
        <v>1871553759</v>
      </c>
      <c r="E485" s="12">
        <f ca="1">IFERROR(__xludf.DUMMYFUNCTION("""COMPUTED_VALUE"""),46242)</f>
        <v>46242</v>
      </c>
      <c r="F485" s="10" t="str">
        <f ca="1">IFERROR(__xludf.DUMMYFUNCTION("""COMPUTED_VALUE"""),"ADVANCED CUSTOMER")</f>
        <v>ADVANCED CUSTOMER</v>
      </c>
      <c r="G485" s="10" t="str">
        <f ca="1">IFERROR(__xludf.DUMMYFUNCTION("""COMPUTED_VALUE"""),"B2C")</f>
        <v>B2C</v>
      </c>
      <c r="H485" s="10" t="str">
        <f ca="1">IFERROR(__xludf.DUMMYFUNCTION("""COMPUTED_VALUE"""),"RAHUL AGRAWAL")</f>
        <v>RAHUL AGRAWAL</v>
      </c>
    </row>
    <row r="486" spans="1:8">
      <c r="A486" s="10">
        <f ca="1">IFERROR(__xludf.DUMMYFUNCTION("""COMPUTED_VALUE"""),57)</f>
        <v>57</v>
      </c>
      <c r="B486" s="10" t="str">
        <f ca="1">IFERROR(__xludf.DUMMYFUNCTION("""COMPUTED_VALUE"""),"Ujjain")</f>
        <v>Ujjain</v>
      </c>
      <c r="C486" s="10" t="str">
        <f ca="1">IFERROR(__xludf.DUMMYFUNCTION("""COMPUTED_VALUE"""),"MOHIT SINGH PAWAR")</f>
        <v>MOHIT SINGH PAWAR</v>
      </c>
      <c r="D486" s="10">
        <f ca="1">IFERROR(__xludf.DUMMYFUNCTION("""COMPUTED_VALUE"""),1132441153)</f>
        <v>1132441153</v>
      </c>
      <c r="E486" s="12">
        <f ca="1">IFERROR(__xludf.DUMMYFUNCTION("""COMPUTED_VALUE"""),46242)</f>
        <v>46242</v>
      </c>
      <c r="F486" s="10" t="str">
        <f ca="1">IFERROR(__xludf.DUMMYFUNCTION("""COMPUTED_VALUE"""),"ADVANCED CUSTOMER")</f>
        <v>ADVANCED CUSTOMER</v>
      </c>
      <c r="G486" s="10" t="str">
        <f ca="1">IFERROR(__xludf.DUMMYFUNCTION("""COMPUTED_VALUE"""),"B2C")</f>
        <v>B2C</v>
      </c>
      <c r="H486" s="10" t="str">
        <f ca="1">IFERROR(__xludf.DUMMYFUNCTION("""COMPUTED_VALUE"""),"RAHUL AGRAWAL")</f>
        <v>RAHUL AGRAWAL</v>
      </c>
    </row>
    <row r="487" spans="1:8">
      <c r="A487" s="10">
        <f ca="1">IFERROR(__xludf.DUMMYFUNCTION("""COMPUTED_VALUE"""),58)</f>
        <v>58</v>
      </c>
      <c r="B487" s="10" t="str">
        <f ca="1">IFERROR(__xludf.DUMMYFUNCTION("""COMPUTED_VALUE"""),"Ujjain")</f>
        <v>Ujjain</v>
      </c>
      <c r="C487" s="10" t="str">
        <f ca="1">IFERROR(__xludf.DUMMYFUNCTION("""COMPUTED_VALUE"""),"Nakoda Industries")</f>
        <v>Nakoda Industries</v>
      </c>
      <c r="D487" s="10">
        <f ca="1">IFERROR(__xludf.DUMMYFUNCTION("""COMPUTED_VALUE"""),1385340492)</f>
        <v>1385340492</v>
      </c>
      <c r="E487" s="12">
        <f ca="1">IFERROR(__xludf.DUMMYFUNCTION("""COMPUTED_VALUE"""),46248)</f>
        <v>46248</v>
      </c>
      <c r="F487" s="10" t="str">
        <f ca="1">IFERROR(__xludf.DUMMYFUNCTION("""COMPUTED_VALUE"""),"ADVANCED CUSTOMER")</f>
        <v>ADVANCED CUSTOMER</v>
      </c>
      <c r="G487" s="10" t="str">
        <f ca="1">IFERROR(__xludf.DUMMYFUNCTION("""COMPUTED_VALUE"""),"B2C")</f>
        <v>B2C</v>
      </c>
      <c r="H487" s="10" t="str">
        <f ca="1">IFERROR(__xludf.DUMMYFUNCTION("""COMPUTED_VALUE"""),"RAHUL AGRAWAL")</f>
        <v>RAHUL AGRAWAL</v>
      </c>
    </row>
    <row r="488" spans="1:8">
      <c r="A488" s="10">
        <f ca="1">IFERROR(__xludf.DUMMYFUNCTION("""COMPUTED_VALUE"""),59)</f>
        <v>59</v>
      </c>
      <c r="B488" s="10" t="str">
        <f ca="1">IFERROR(__xludf.DUMMYFUNCTION("""COMPUTED_VALUE"""),"Ujjain")</f>
        <v>Ujjain</v>
      </c>
      <c r="C488" s="10" t="str">
        <f ca="1">IFERROR(__xludf.DUMMYFUNCTION("""COMPUTED_VALUE"""),"Rashmi Vyas")</f>
        <v>Rashmi Vyas</v>
      </c>
      <c r="D488" s="10">
        <f ca="1">IFERROR(__xludf.DUMMYFUNCTION("""COMPUTED_VALUE"""),1842024642)</f>
        <v>1842024642</v>
      </c>
      <c r="E488" s="12">
        <f ca="1">IFERROR(__xludf.DUMMYFUNCTION("""COMPUTED_VALUE"""),46255)</f>
        <v>46255</v>
      </c>
      <c r="F488" s="10" t="str">
        <f ca="1">IFERROR(__xludf.DUMMYFUNCTION("""COMPUTED_VALUE"""),"ADVANCED CUSTOMER")</f>
        <v>ADVANCED CUSTOMER</v>
      </c>
      <c r="G488" s="10" t="str">
        <f ca="1">IFERROR(__xludf.DUMMYFUNCTION("""COMPUTED_VALUE"""),"B2C")</f>
        <v>B2C</v>
      </c>
      <c r="H488" s="10" t="str">
        <f ca="1">IFERROR(__xludf.DUMMYFUNCTION("""COMPUTED_VALUE"""),"RAHUL AGRAWAL")</f>
        <v>RAHUL AGRAWAL</v>
      </c>
    </row>
    <row r="489" spans="1:8">
      <c r="A489" s="10">
        <f ca="1">IFERROR(__xludf.DUMMYFUNCTION("""COMPUTED_VALUE"""),60)</f>
        <v>60</v>
      </c>
      <c r="B489" s="10" t="str">
        <f ca="1">IFERROR(__xludf.DUMMYFUNCTION("""COMPUTED_VALUE"""),"Ujjain")</f>
        <v>Ujjain</v>
      </c>
      <c r="C489" s="10" t="str">
        <f ca="1">IFERROR(__xludf.DUMMYFUNCTION("""COMPUTED_VALUE"""),"SIXTH SENSE MARKETING PVT LTD")</f>
        <v>SIXTH SENSE MARKETING PVT LTD</v>
      </c>
      <c r="D489" s="10">
        <f ca="1">IFERROR(__xludf.DUMMYFUNCTION("""COMPUTED_VALUE"""),1431176158)</f>
        <v>1431176158</v>
      </c>
      <c r="E489" s="12">
        <f ca="1">IFERROR(__xludf.DUMMYFUNCTION("""COMPUTED_VALUE"""),46238)</f>
        <v>46238</v>
      </c>
      <c r="F489" s="10" t="str">
        <f ca="1">IFERROR(__xludf.DUMMYFUNCTION("""COMPUTED_VALUE"""),"ADVANCED CUSTOMER")</f>
        <v>ADVANCED CUSTOMER</v>
      </c>
      <c r="G489" s="10" t="str">
        <f ca="1">IFERROR(__xludf.DUMMYFUNCTION("""COMPUTED_VALUE"""),"B2C")</f>
        <v>B2C</v>
      </c>
      <c r="H489" s="10" t="str">
        <f ca="1">IFERROR(__xludf.DUMMYFUNCTION("""COMPUTED_VALUE"""),"RAHUL AGRAWAL")</f>
        <v>RAHUL AGRAWAL</v>
      </c>
    </row>
    <row r="490" spans="1:8">
      <c r="A490" s="10">
        <f ca="1">IFERROR(__xludf.DUMMYFUNCTION("""COMPUTED_VALUE"""),61)</f>
        <v>61</v>
      </c>
      <c r="B490" s="10" t="str">
        <f ca="1">IFERROR(__xludf.DUMMYFUNCTION("""COMPUTED_VALUE"""),"Ujjain")</f>
        <v>Ujjain</v>
      </c>
      <c r="C490" s="10" t="str">
        <f ca="1">IFERROR(__xludf.DUMMYFUNCTION("""COMPUTED_VALUE"""),"Burhanuuddin Bagwala")</f>
        <v>Burhanuuddin Bagwala</v>
      </c>
      <c r="D490" s="10">
        <f ca="1">IFERROR(__xludf.DUMMYFUNCTION("""COMPUTED_VALUE"""),1541440822)</f>
        <v>1541440822</v>
      </c>
      <c r="E490" s="12"/>
      <c r="F490" s="10" t="str">
        <f ca="1">IFERROR(__xludf.DUMMYFUNCTION("""COMPUTED_VALUE"""),"ADVANCED CUSTOMER")</f>
        <v>ADVANCED CUSTOMER</v>
      </c>
      <c r="G490" s="10" t="str">
        <f ca="1">IFERROR(__xludf.DUMMYFUNCTION("""COMPUTED_VALUE"""),"B2C")</f>
        <v>B2C</v>
      </c>
      <c r="H490" s="10" t="str">
        <f ca="1">IFERROR(__xludf.DUMMYFUNCTION("""COMPUTED_VALUE"""),"RAHUL AGRAWAL")</f>
        <v>RAHUL AGRAWAL</v>
      </c>
    </row>
    <row r="491" spans="1:8">
      <c r="A491" s="10">
        <f ca="1">IFERROR(__xludf.DUMMYFUNCTION("""COMPUTED_VALUE"""),62)</f>
        <v>62</v>
      </c>
      <c r="B491" s="10" t="str">
        <f ca="1">IFERROR(__xludf.DUMMYFUNCTION("""COMPUTED_VALUE"""),"Ujjain")</f>
        <v>Ujjain</v>
      </c>
      <c r="C491" s="10" t="str">
        <f ca="1">IFERROR(__xludf.DUMMYFUNCTION("""COMPUTED_VALUE"""),"GAGAN YOGI")</f>
        <v>GAGAN YOGI</v>
      </c>
      <c r="D491" s="10">
        <f ca="1">IFERROR(__xludf.DUMMYFUNCTION("""COMPUTED_VALUE"""),1601641926)</f>
        <v>1601641926</v>
      </c>
      <c r="E491" s="12"/>
      <c r="F491" s="10" t="str">
        <f ca="1">IFERROR(__xludf.DUMMYFUNCTION("""COMPUTED_VALUE"""),"ADVANCED CUSTOMER")</f>
        <v>ADVANCED CUSTOMER</v>
      </c>
      <c r="G491" s="10" t="str">
        <f ca="1">IFERROR(__xludf.DUMMYFUNCTION("""COMPUTED_VALUE"""),"B2C")</f>
        <v>B2C</v>
      </c>
      <c r="H491" s="10" t="str">
        <f ca="1">IFERROR(__xludf.DUMMYFUNCTION("""COMPUTED_VALUE"""),"RAHUL AGRAWAL")</f>
        <v>RAHUL AGRAWAL</v>
      </c>
    </row>
    <row r="492" spans="1:8">
      <c r="A492" s="10">
        <f ca="1">IFERROR(__xludf.DUMMYFUNCTION("""COMPUTED_VALUE"""),63)</f>
        <v>63</v>
      </c>
      <c r="B492" s="10" t="str">
        <f ca="1">IFERROR(__xludf.DUMMYFUNCTION("""COMPUTED_VALUE"""),"Ujjain")</f>
        <v>Ujjain</v>
      </c>
      <c r="C492" s="10" t="str">
        <f ca="1">IFERROR(__xludf.DUMMYFUNCTION("""COMPUTED_VALUE"""),"ayurved panchkaram centre")</f>
        <v>ayurved panchkaram centre</v>
      </c>
      <c r="D492" s="10">
        <f ca="1">IFERROR(__xludf.DUMMYFUNCTION("""COMPUTED_VALUE"""),1940520225)</f>
        <v>1940520225</v>
      </c>
      <c r="E492" s="12"/>
      <c r="F492" s="10" t="str">
        <f ca="1">IFERROR(__xludf.DUMMYFUNCTION("""COMPUTED_VALUE"""),"ADVANCED CUSTOMER")</f>
        <v>ADVANCED CUSTOMER</v>
      </c>
      <c r="G492" s="10" t="str">
        <f ca="1">IFERROR(__xludf.DUMMYFUNCTION("""COMPUTED_VALUE"""),"B2C")</f>
        <v>B2C</v>
      </c>
      <c r="H492" s="10" t="str">
        <f ca="1">IFERROR(__xludf.DUMMYFUNCTION("""COMPUTED_VALUE"""),"RAHUL AGRAWAL")</f>
        <v>RAHUL AGRAWAL</v>
      </c>
    </row>
    <row r="493" spans="1:8">
      <c r="A493" s="10">
        <f ca="1">IFERROR(__xludf.DUMMYFUNCTION("""COMPUTED_VALUE"""),64)</f>
        <v>64</v>
      </c>
      <c r="B493" s="10" t="str">
        <f ca="1">IFERROR(__xludf.DUMMYFUNCTION("""COMPUTED_VALUE"""),"Ujjain")</f>
        <v>Ujjain</v>
      </c>
      <c r="C493" s="10" t="str">
        <f ca="1">IFERROR(__xludf.DUMMYFUNCTION("""COMPUTED_VALUE"""),"mohit goyal")</f>
        <v>mohit goyal</v>
      </c>
      <c r="D493" s="10">
        <f ca="1">IFERROR(__xludf.DUMMYFUNCTION("""COMPUTED_VALUE"""),1174589213)</f>
        <v>1174589213</v>
      </c>
      <c r="E493" s="12"/>
      <c r="F493" s="10" t="str">
        <f ca="1">IFERROR(__xludf.DUMMYFUNCTION("""COMPUTED_VALUE"""),"ADVANCED CUSTOMER")</f>
        <v>ADVANCED CUSTOMER</v>
      </c>
      <c r="G493" s="10" t="str">
        <f ca="1">IFERROR(__xludf.DUMMYFUNCTION("""COMPUTED_VALUE"""),"B2C")</f>
        <v>B2C</v>
      </c>
      <c r="H493" s="10" t="str">
        <f ca="1">IFERROR(__xludf.DUMMYFUNCTION("""COMPUTED_VALUE"""),"RAHUL AGRAWAL")</f>
        <v>RAHUL AGRAWAL</v>
      </c>
    </row>
    <row r="494" spans="1:8">
      <c r="A494" s="10">
        <f ca="1">IFERROR(__xludf.DUMMYFUNCTION("""COMPUTED_VALUE"""),65)</f>
        <v>65</v>
      </c>
      <c r="B494" s="10" t="str">
        <f ca="1">IFERROR(__xludf.DUMMYFUNCTION("""COMPUTED_VALUE"""),"Ujjain")</f>
        <v>Ujjain</v>
      </c>
      <c r="C494" s="10" t="str">
        <f ca="1">IFERROR(__xludf.DUMMYFUNCTION("""COMPUTED_VALUE"""),"VINOD PORWAL")</f>
        <v>VINOD PORWAL</v>
      </c>
      <c r="D494" s="10">
        <f ca="1">IFERROR(__xludf.DUMMYFUNCTION("""COMPUTED_VALUE"""),1971673186)</f>
        <v>1971673186</v>
      </c>
      <c r="E494" s="12"/>
      <c r="F494" s="10" t="str">
        <f ca="1">IFERROR(__xludf.DUMMYFUNCTION("""COMPUTED_VALUE"""),"ADVANCED CUSTOMER")</f>
        <v>ADVANCED CUSTOMER</v>
      </c>
      <c r="G494" s="10" t="str">
        <f ca="1">IFERROR(__xludf.DUMMYFUNCTION("""COMPUTED_VALUE"""),"B2C")</f>
        <v>B2C</v>
      </c>
      <c r="H494" s="10" t="str">
        <f ca="1">IFERROR(__xludf.DUMMYFUNCTION("""COMPUTED_VALUE"""),"RAHUL AGRAWAL")</f>
        <v>RAHUL AGRAWAL</v>
      </c>
    </row>
    <row r="495" spans="1:8">
      <c r="A495" s="10">
        <f ca="1">IFERROR(__xludf.DUMMYFUNCTION("""COMPUTED_VALUE"""),66)</f>
        <v>66</v>
      </c>
      <c r="B495" s="10" t="str">
        <f ca="1">IFERROR(__xludf.DUMMYFUNCTION("""COMPUTED_VALUE"""),"Ujjain")</f>
        <v>Ujjain</v>
      </c>
      <c r="C495" s="10" t="str">
        <f ca="1">IFERROR(__xludf.DUMMYFUNCTION("""COMPUTED_VALUE"""),"Gauv aadi shakti Private limited")</f>
        <v>Gauv aadi shakti Private limited</v>
      </c>
      <c r="D495" s="10">
        <f ca="1">IFERROR(__xludf.DUMMYFUNCTION("""COMPUTED_VALUE"""),1430224002)</f>
        <v>1430224002</v>
      </c>
      <c r="E495" s="12"/>
      <c r="F495" s="10" t="str">
        <f ca="1">IFERROR(__xludf.DUMMYFUNCTION("""COMPUTED_VALUE"""),"ADVANCED CUSTOMER")</f>
        <v>ADVANCED CUSTOMER</v>
      </c>
      <c r="G495" s="10" t="str">
        <f ca="1">IFERROR(__xludf.DUMMYFUNCTION("""COMPUTED_VALUE"""),"B2C")</f>
        <v>B2C</v>
      </c>
      <c r="H495" s="10" t="str">
        <f ca="1">IFERROR(__xludf.DUMMYFUNCTION("""COMPUTED_VALUE"""),"RAHUL AGRAWAL")</f>
        <v>RAHUL AGRAWAL</v>
      </c>
    </row>
    <row r="496" spans="1:8">
      <c r="A496" s="10">
        <f ca="1">IFERROR(__xludf.DUMMYFUNCTION("""COMPUTED_VALUE"""),67)</f>
        <v>67</v>
      </c>
      <c r="B496" s="10" t="str">
        <f ca="1">IFERROR(__xludf.DUMMYFUNCTION("""COMPUTED_VALUE"""),"Ujjain")</f>
        <v>Ujjain</v>
      </c>
      <c r="C496" s="10" t="str">
        <f ca="1">IFERROR(__xludf.DUMMYFUNCTION("""COMPUTED_VALUE"""),"International society for Krishna consciousness")</f>
        <v>International society for Krishna consciousness</v>
      </c>
      <c r="D496" s="10">
        <f ca="1">IFERROR(__xludf.DUMMYFUNCTION("""COMPUTED_VALUE"""),1247495565)</f>
        <v>1247495565</v>
      </c>
      <c r="E496" s="12"/>
      <c r="F496" s="10" t="str">
        <f ca="1">IFERROR(__xludf.DUMMYFUNCTION("""COMPUTED_VALUE"""),"ADVANCED CUSTOMER")</f>
        <v>ADVANCED CUSTOMER</v>
      </c>
      <c r="G496" s="10" t="str">
        <f ca="1">IFERROR(__xludf.DUMMYFUNCTION("""COMPUTED_VALUE"""),"B2C")</f>
        <v>B2C</v>
      </c>
      <c r="H496" s="10" t="str">
        <f ca="1">IFERROR(__xludf.DUMMYFUNCTION("""COMPUTED_VALUE"""),"RAHUL AGRAWAL")</f>
        <v>RAHUL AGRAWAL</v>
      </c>
    </row>
    <row r="497" spans="1:8">
      <c r="A497" s="10">
        <f ca="1">IFERROR(__xludf.DUMMYFUNCTION("""COMPUTED_VALUE"""),68)</f>
        <v>68</v>
      </c>
      <c r="B497" s="10" t="str">
        <f ca="1">IFERROR(__xludf.DUMMYFUNCTION("""COMPUTED_VALUE"""),"Ujjain")</f>
        <v>Ujjain</v>
      </c>
      <c r="C497" s="10" t="str">
        <f ca="1">IFERROR(__xludf.DUMMYFUNCTION("""COMPUTED_VALUE"""),"JODHPUR RAJWADI COLLECTION")</f>
        <v>JODHPUR RAJWADI COLLECTION</v>
      </c>
      <c r="D497" s="10">
        <f ca="1">IFERROR(__xludf.DUMMYFUNCTION("""COMPUTED_VALUE"""),1335749271)</f>
        <v>1335749271</v>
      </c>
      <c r="E497" s="12"/>
      <c r="F497" s="10" t="str">
        <f ca="1">IFERROR(__xludf.DUMMYFUNCTION("""COMPUTED_VALUE"""),"ADVANCED CUSTOMER")</f>
        <v>ADVANCED CUSTOMER</v>
      </c>
      <c r="G497" s="10" t="str">
        <f ca="1">IFERROR(__xludf.DUMMYFUNCTION("""COMPUTED_VALUE"""),"B2C")</f>
        <v>B2C</v>
      </c>
      <c r="H497" s="10" t="str">
        <f ca="1">IFERROR(__xludf.DUMMYFUNCTION("""COMPUTED_VALUE"""),"RAHUL AGRAWAL")</f>
        <v>RAHUL AGRAWAL</v>
      </c>
    </row>
    <row r="498" spans="1:8">
      <c r="A498" s="15">
        <f ca="1">IFERROR(__xludf.DUMMYFUNCTION("""COMPUTED_VALUE"""),69)</f>
        <v>69</v>
      </c>
      <c r="B498" s="15" t="str">
        <f ca="1">IFERROR(__xludf.DUMMYFUNCTION("""COMPUTED_VALUE"""),"Ujjain")</f>
        <v>Ujjain</v>
      </c>
      <c r="C498" s="15" t="str">
        <f ca="1">IFERROR(__xludf.DUMMYFUNCTION("""COMPUTED_VALUE"""),"PRIT UNDER GARMENTS")</f>
        <v>PRIT UNDER GARMENTS</v>
      </c>
      <c r="D498" s="15">
        <f ca="1">IFERROR(__xludf.DUMMYFUNCTION("""COMPUTED_VALUE"""),1708800018)</f>
        <v>1708800018</v>
      </c>
      <c r="E498" s="28"/>
      <c r="F498" s="15" t="str">
        <f ca="1">IFERROR(__xludf.DUMMYFUNCTION("""COMPUTED_VALUE"""),"ADVANCED CUSTOMER")</f>
        <v>ADVANCED CUSTOMER</v>
      </c>
      <c r="G498" s="15" t="str">
        <f ca="1">IFERROR(__xludf.DUMMYFUNCTION("""COMPUTED_VALUE"""),"B2C")</f>
        <v>B2C</v>
      </c>
      <c r="H498" s="15" t="str">
        <f ca="1">IFERROR(__xludf.DUMMYFUNCTION("""COMPUTED_VALUE"""),"RAHUL AGRAWAL")</f>
        <v>RAHUL AGRAWAL</v>
      </c>
    </row>
    <row r="499" spans="1:8">
      <c r="A499" s="15">
        <f ca="1">IFERROR(__xludf.DUMMYFUNCTION("""COMPUTED_VALUE"""),70)</f>
        <v>70</v>
      </c>
      <c r="B499" s="15" t="str">
        <f ca="1">IFERROR(__xludf.DUMMYFUNCTION("""COMPUTED_VALUE"""),"Ujjain")</f>
        <v>Ujjain</v>
      </c>
      <c r="C499" s="15" t="str">
        <f ca="1">IFERROR(__xludf.DUMMYFUNCTION("""COMPUTED_VALUE"""),"KAMAL PATIDAR")</f>
        <v>KAMAL PATIDAR</v>
      </c>
      <c r="D499" s="15">
        <f ca="1">IFERROR(__xludf.DUMMYFUNCTION("""COMPUTED_VALUE"""),1383939345)</f>
        <v>1383939345</v>
      </c>
      <c r="E499" s="28"/>
      <c r="F499" s="15" t="str">
        <f ca="1">IFERROR(__xludf.DUMMYFUNCTION("""COMPUTED_VALUE"""),"ADVANCED CUSTOMER")</f>
        <v>ADVANCED CUSTOMER</v>
      </c>
      <c r="G499" s="15" t="str">
        <f ca="1">IFERROR(__xludf.DUMMYFUNCTION("""COMPUTED_VALUE"""),"B2C")</f>
        <v>B2C</v>
      </c>
      <c r="H499" s="15" t="str">
        <f ca="1">IFERROR(__xludf.DUMMYFUNCTION("""COMPUTED_VALUE"""),"RAHUL AGRAWAL")</f>
        <v>RAHUL AGRAWAL</v>
      </c>
    </row>
    <row r="500" spans="1:8">
      <c r="A500" s="15">
        <f ca="1">IFERROR(__xludf.DUMMYFUNCTION("""COMPUTED_VALUE"""),71)</f>
        <v>71</v>
      </c>
      <c r="B500" s="15" t="str">
        <f ca="1">IFERROR(__xludf.DUMMYFUNCTION("""COMPUTED_VALUE"""),"Ujjain")</f>
        <v>Ujjain</v>
      </c>
      <c r="C500" s="15" t="str">
        <f ca="1">IFERROR(__xludf.DUMMYFUNCTION("""COMPUTED_VALUE"""),"VINOD KHABIYA")</f>
        <v>VINOD KHABIYA</v>
      </c>
      <c r="D500" s="15">
        <f ca="1">IFERROR(__xludf.DUMMYFUNCTION("""COMPUTED_VALUE"""),1479992063)</f>
        <v>1479992063</v>
      </c>
      <c r="E500" s="28"/>
      <c r="F500" s="15" t="str">
        <f ca="1">IFERROR(__xludf.DUMMYFUNCTION("""COMPUTED_VALUE"""),"ADVANCED CUSTOMER")</f>
        <v>ADVANCED CUSTOMER</v>
      </c>
      <c r="G500" s="15" t="str">
        <f ca="1">IFERROR(__xludf.DUMMYFUNCTION("""COMPUTED_VALUE"""),"B2C")</f>
        <v>B2C</v>
      </c>
      <c r="H500" s="15" t="str">
        <f ca="1">IFERROR(__xludf.DUMMYFUNCTION("""COMPUTED_VALUE"""),"RAHUL AGRAWAL")</f>
        <v>RAHUL AGRAWAL</v>
      </c>
    </row>
    <row r="501" spans="1:8">
      <c r="A501" s="15">
        <f ca="1">IFERROR(__xludf.DUMMYFUNCTION("""COMPUTED_VALUE"""),72)</f>
        <v>72</v>
      </c>
      <c r="B501" s="15" t="str">
        <f ca="1">IFERROR(__xludf.DUMMYFUNCTION("""COMPUTED_VALUE"""),"Ujjain")</f>
        <v>Ujjain</v>
      </c>
      <c r="C501" s="15" t="str">
        <f ca="1">IFERROR(__xludf.DUMMYFUNCTION("""COMPUTED_VALUE"""),"KIRTI AKODIYA")</f>
        <v>KIRTI AKODIYA</v>
      </c>
      <c r="D501" s="15">
        <f ca="1">IFERROR(__xludf.DUMMYFUNCTION("""COMPUTED_VALUE"""),1571949494)</f>
        <v>1571949494</v>
      </c>
      <c r="E501" s="28"/>
      <c r="F501" s="15" t="str">
        <f ca="1">IFERROR(__xludf.DUMMYFUNCTION("""COMPUTED_VALUE"""),"ADVANCED CUSTOMER")</f>
        <v>ADVANCED CUSTOMER</v>
      </c>
      <c r="G501" s="15" t="str">
        <f ca="1">IFERROR(__xludf.DUMMYFUNCTION("""COMPUTED_VALUE"""),"B2C")</f>
        <v>B2C</v>
      </c>
      <c r="H501" s="15" t="str">
        <f ca="1">IFERROR(__xludf.DUMMYFUNCTION("""COMPUTED_VALUE"""),"RAHUL AGRAWAL")</f>
        <v>RAHUL AGRAWAL</v>
      </c>
    </row>
    <row r="502" spans="1:8">
      <c r="A502" s="15">
        <f ca="1">IFERROR(__xludf.DUMMYFUNCTION("""COMPUTED_VALUE"""),73)</f>
        <v>73</v>
      </c>
      <c r="B502" s="15" t="str">
        <f ca="1">IFERROR(__xludf.DUMMYFUNCTION("""COMPUTED_VALUE"""),"Ujjain")</f>
        <v>Ujjain</v>
      </c>
      <c r="C502" s="15" t="str">
        <f ca="1">IFERROR(__xludf.DUMMYFUNCTION("""COMPUTED_VALUE"""),"SHIVAM RATHORE")</f>
        <v>SHIVAM RATHORE</v>
      </c>
      <c r="D502" s="15">
        <f ca="1">IFERROR(__xludf.DUMMYFUNCTION("""COMPUTED_VALUE"""),1339114628)</f>
        <v>1339114628</v>
      </c>
      <c r="E502" s="28"/>
      <c r="F502" s="15" t="str">
        <f ca="1">IFERROR(__xludf.DUMMYFUNCTION("""COMPUTED_VALUE"""),"ADVANCED CUSTOMER")</f>
        <v>ADVANCED CUSTOMER</v>
      </c>
      <c r="G502" s="15" t="str">
        <f ca="1">IFERROR(__xludf.DUMMYFUNCTION("""COMPUTED_VALUE"""),"B2C")</f>
        <v>B2C</v>
      </c>
      <c r="H502" s="15" t="str">
        <f ca="1">IFERROR(__xludf.DUMMYFUNCTION("""COMPUTED_VALUE"""),"RAHUL AGRAWAL")</f>
        <v>RAHUL AGRAWAL</v>
      </c>
    </row>
    <row r="503" spans="1:8">
      <c r="A503" s="15">
        <f ca="1">IFERROR(__xludf.DUMMYFUNCTION("""COMPUTED_VALUE"""),74)</f>
        <v>74</v>
      </c>
      <c r="B503" s="15" t="str">
        <f ca="1">IFERROR(__xludf.DUMMYFUNCTION("""COMPUTED_VALUE"""),"Ujjain")</f>
        <v>Ujjain</v>
      </c>
      <c r="C503" s="15" t="str">
        <f ca="1">IFERROR(__xludf.DUMMYFUNCTION("""COMPUTED_VALUE"""),"ALPHABETICA TRADERS AND SERVICES LLP")</f>
        <v>ALPHABETICA TRADERS AND SERVICES LLP</v>
      </c>
      <c r="D503" s="15">
        <f ca="1">IFERROR(__xludf.DUMMYFUNCTION("""COMPUTED_VALUE"""),1140834165)</f>
        <v>1140834165</v>
      </c>
      <c r="E503" s="28"/>
      <c r="F503" s="15" t="str">
        <f ca="1">IFERROR(__xludf.DUMMYFUNCTION("""COMPUTED_VALUE"""),"ADVANCED CUSTOMER")</f>
        <v>ADVANCED CUSTOMER</v>
      </c>
      <c r="G503" s="15" t="str">
        <f ca="1">IFERROR(__xludf.DUMMYFUNCTION("""COMPUTED_VALUE"""),"B2C")</f>
        <v>B2C</v>
      </c>
      <c r="H503" s="15" t="str">
        <f ca="1">IFERROR(__xludf.DUMMYFUNCTION("""COMPUTED_VALUE"""),"RAHUL AGRAWAL")</f>
        <v>RAHUL AGRAWAL</v>
      </c>
    </row>
    <row r="504" spans="1:8">
      <c r="A504" s="15">
        <f ca="1">IFERROR(__xludf.DUMMYFUNCTION("""COMPUTED_VALUE"""),75)</f>
        <v>75</v>
      </c>
      <c r="B504" s="15" t="str">
        <f ca="1">IFERROR(__xludf.DUMMYFUNCTION("""COMPUTED_VALUE"""),"Ujjain")</f>
        <v>Ujjain</v>
      </c>
      <c r="C504" s="15" t="str">
        <f ca="1">IFERROR(__xludf.DUMMYFUNCTION("""COMPUTED_VALUE"""),"BOM IND COURIER")</f>
        <v>BOM IND COURIER</v>
      </c>
      <c r="D504" s="15">
        <f ca="1">IFERROR(__xludf.DUMMYFUNCTION("""COMPUTED_VALUE"""),1604301928)</f>
        <v>1604301928</v>
      </c>
      <c r="E504" s="28"/>
      <c r="F504" s="15" t="str">
        <f ca="1">IFERROR(__xludf.DUMMYFUNCTION("""COMPUTED_VALUE"""),"ADVANCED CUSTOMER")</f>
        <v>ADVANCED CUSTOMER</v>
      </c>
      <c r="G504" s="15" t="str">
        <f ca="1">IFERROR(__xludf.DUMMYFUNCTION("""COMPUTED_VALUE"""),"B2C")</f>
        <v>B2C</v>
      </c>
      <c r="H504" s="15" t="str">
        <f ca="1">IFERROR(__xludf.DUMMYFUNCTION("""COMPUTED_VALUE"""),"RAHUL AGRAWAL")</f>
        <v>RAHUL AGRAWAL</v>
      </c>
    </row>
    <row r="505" spans="1:8">
      <c r="A505" s="15">
        <f ca="1">IFERROR(__xludf.DUMMYFUNCTION("""COMPUTED_VALUE"""),76)</f>
        <v>76</v>
      </c>
      <c r="B505" s="15" t="str">
        <f ca="1">IFERROR(__xludf.DUMMYFUNCTION("""COMPUTED_VALUE"""),"Ujjain")</f>
        <v>Ujjain</v>
      </c>
      <c r="C505" s="15" t="str">
        <f ca="1">IFERROR(__xludf.DUMMYFUNCTION("""COMPUTED_VALUE"""),"sanwariya saree")</f>
        <v>sanwariya saree</v>
      </c>
      <c r="D505" s="15">
        <f ca="1">IFERROR(__xludf.DUMMYFUNCTION("""COMPUTED_VALUE"""),1460633025)</f>
        <v>1460633025</v>
      </c>
      <c r="E505" s="28"/>
      <c r="F505" s="15" t="str">
        <f ca="1">IFERROR(__xludf.DUMMYFUNCTION("""COMPUTED_VALUE"""),"ADVANCED CUSTOMER")</f>
        <v>ADVANCED CUSTOMER</v>
      </c>
      <c r="G505" s="15" t="str">
        <f ca="1">IFERROR(__xludf.DUMMYFUNCTION("""COMPUTED_VALUE"""),"B2C")</f>
        <v>B2C</v>
      </c>
      <c r="H505" s="15" t="str">
        <f ca="1">IFERROR(__xludf.DUMMYFUNCTION("""COMPUTED_VALUE"""),"RAHUL AGRAWAL")</f>
        <v>RAHUL AGRAWAL</v>
      </c>
    </row>
    <row r="506" spans="1:8">
      <c r="A506" s="15">
        <f ca="1">IFERROR(__xludf.DUMMYFUNCTION("""COMPUTED_VALUE"""),77)</f>
        <v>77</v>
      </c>
      <c r="B506" s="15" t="str">
        <f ca="1">IFERROR(__xludf.DUMMYFUNCTION("""COMPUTED_VALUE"""),"Ujjain")</f>
        <v>Ujjain</v>
      </c>
      <c r="C506" s="15" t="str">
        <f ca="1">IFERROR(__xludf.DUMMYFUNCTION("""COMPUTED_VALUE"""),"CHERRY CLOSET")</f>
        <v>CHERRY CLOSET</v>
      </c>
      <c r="D506" s="15">
        <f ca="1">IFERROR(__xludf.DUMMYFUNCTION("""COMPUTED_VALUE"""),1983629855)</f>
        <v>1983629855</v>
      </c>
      <c r="E506" s="28"/>
      <c r="F506" s="15" t="str">
        <f ca="1">IFERROR(__xludf.DUMMYFUNCTION("""COMPUTED_VALUE"""),"ADVANCED CUSTOMER")</f>
        <v>ADVANCED CUSTOMER</v>
      </c>
      <c r="G506" s="15" t="str">
        <f ca="1">IFERROR(__xludf.DUMMYFUNCTION("""COMPUTED_VALUE"""),"B2C")</f>
        <v>B2C</v>
      </c>
      <c r="H506" s="15" t="str">
        <f ca="1">IFERROR(__xludf.DUMMYFUNCTION("""COMPUTED_VALUE"""),"RAHUL AGRAWAL")</f>
        <v>RAHUL AGRAWAL</v>
      </c>
    </row>
    <row r="507" spans="1:8">
      <c r="A507" s="15">
        <f ca="1">IFERROR(__xludf.DUMMYFUNCTION("""COMPUTED_VALUE"""),78)</f>
        <v>78</v>
      </c>
      <c r="B507" s="15" t="str">
        <f ca="1">IFERROR(__xludf.DUMMYFUNCTION("""COMPUTED_VALUE"""),"Ujjain")</f>
        <v>Ujjain</v>
      </c>
      <c r="C507" s="15" t="str">
        <f ca="1">IFERROR(__xludf.DUMMYFUNCTION("""COMPUTED_VALUE"""),"Sewa Satkaar")</f>
        <v>Sewa Satkaar</v>
      </c>
      <c r="D507" s="15">
        <f ca="1">IFERROR(__xludf.DUMMYFUNCTION("""COMPUTED_VALUE"""),1766101758)</f>
        <v>1766101758</v>
      </c>
      <c r="E507" s="28">
        <f ca="1">IFERROR(__xludf.DUMMYFUNCTION("""COMPUTED_VALUE"""),46134)</f>
        <v>46134</v>
      </c>
      <c r="F507" s="15" t="str">
        <f ca="1">IFERROR(__xludf.DUMMYFUNCTION("""COMPUTED_VALUE"""),"ADVANCED CUSTOMER")</f>
        <v>ADVANCED CUSTOMER</v>
      </c>
      <c r="G507" s="15" t="str">
        <f ca="1">IFERROR(__xludf.DUMMYFUNCTION("""COMPUTED_VALUE"""),"B2C")</f>
        <v>B2C</v>
      </c>
      <c r="H507" s="15" t="str">
        <f ca="1">IFERROR(__xludf.DUMMYFUNCTION("""COMPUTED_VALUE"""),"RISHABH SINGH GOUR")</f>
        <v>RISHABH SINGH GOUR</v>
      </c>
    </row>
    <row r="508" spans="1:8">
      <c r="A508" s="15">
        <f ca="1">IFERROR(__xludf.DUMMYFUNCTION("""COMPUTED_VALUE"""),79)</f>
        <v>79</v>
      </c>
      <c r="B508" s="15" t="str">
        <f ca="1">IFERROR(__xludf.DUMMYFUNCTION("""COMPUTED_VALUE"""),"Ujjain")</f>
        <v>Ujjain</v>
      </c>
      <c r="C508" s="15" t="str">
        <f ca="1">IFERROR(__xludf.DUMMYFUNCTION("""COMPUTED_VALUE"""),"Annapurna collection")</f>
        <v>Annapurna collection</v>
      </c>
      <c r="D508" s="15">
        <f ca="1">IFERROR(__xludf.DUMMYFUNCTION("""COMPUTED_VALUE"""),1425746086)</f>
        <v>1425746086</v>
      </c>
      <c r="E508" s="28">
        <f ca="1">IFERROR(__xludf.DUMMYFUNCTION("""COMPUTED_VALUE"""),46128)</f>
        <v>46128</v>
      </c>
      <c r="F508" s="15" t="str">
        <f ca="1">IFERROR(__xludf.DUMMYFUNCTION("""COMPUTED_VALUE"""),"ADVANCED CUSTOMER")</f>
        <v>ADVANCED CUSTOMER</v>
      </c>
      <c r="G508" s="15" t="str">
        <f ca="1">IFERROR(__xludf.DUMMYFUNCTION("""COMPUTED_VALUE"""),"B2C")</f>
        <v>B2C</v>
      </c>
      <c r="H508" s="15" t="str">
        <f ca="1">IFERROR(__xludf.DUMMYFUNCTION("""COMPUTED_VALUE"""),"RISHABH SINGH GOUR")</f>
        <v>RISHABH SINGH GOUR</v>
      </c>
    </row>
    <row r="509" spans="1:8">
      <c r="A509" s="15">
        <f ca="1">IFERROR(__xludf.DUMMYFUNCTION("""COMPUTED_VALUE"""),80)</f>
        <v>80</v>
      </c>
      <c r="B509" s="15" t="str">
        <f ca="1">IFERROR(__xludf.DUMMYFUNCTION("""COMPUTED_VALUE"""),"Ujjain")</f>
        <v>Ujjain</v>
      </c>
      <c r="C509" s="15" t="str">
        <f ca="1">IFERROR(__xludf.DUMMYFUNCTION("""COMPUTED_VALUE"""),"Artnaturale")</f>
        <v>Artnaturale</v>
      </c>
      <c r="D509" s="15">
        <f ca="1">IFERROR(__xludf.DUMMYFUNCTION("""COMPUTED_VALUE"""),1475000755)</f>
        <v>1475000755</v>
      </c>
      <c r="E509" s="28">
        <f ca="1">IFERROR(__xludf.DUMMYFUNCTION("""COMPUTED_VALUE"""),46127)</f>
        <v>46127</v>
      </c>
      <c r="F509" s="15" t="str">
        <f ca="1">IFERROR(__xludf.DUMMYFUNCTION("""COMPUTED_VALUE"""),"ADVANCED CUSTOMER")</f>
        <v>ADVANCED CUSTOMER</v>
      </c>
      <c r="G509" s="15" t="str">
        <f ca="1">IFERROR(__xludf.DUMMYFUNCTION("""COMPUTED_VALUE"""),"B2C")</f>
        <v>B2C</v>
      </c>
      <c r="H509" s="15" t="str">
        <f ca="1">IFERROR(__xludf.DUMMYFUNCTION("""COMPUTED_VALUE"""),"RISHABH SINGH GOUR")</f>
        <v>RISHABH SINGH GOUR</v>
      </c>
    </row>
    <row r="510" spans="1:8">
      <c r="A510" s="15">
        <f ca="1">IFERROR(__xludf.DUMMYFUNCTION("""COMPUTED_VALUE"""),81)</f>
        <v>81</v>
      </c>
      <c r="B510" s="15" t="str">
        <f ca="1">IFERROR(__xludf.DUMMYFUNCTION("""COMPUTED_VALUE"""),"Ujjain")</f>
        <v>Ujjain</v>
      </c>
      <c r="C510" s="15" t="str">
        <f ca="1">IFERROR(__xludf.DUMMYFUNCTION("""COMPUTED_VALUE"""),"BLACK HOUSE")</f>
        <v>BLACK HOUSE</v>
      </c>
      <c r="D510" s="15">
        <f ca="1">IFERROR(__xludf.DUMMYFUNCTION("""COMPUTED_VALUE"""),1735010775)</f>
        <v>1735010775</v>
      </c>
      <c r="E510" s="28">
        <f ca="1">IFERROR(__xludf.DUMMYFUNCTION("""COMPUTED_VALUE"""),46113)</f>
        <v>46113</v>
      </c>
      <c r="F510" s="15" t="str">
        <f ca="1">IFERROR(__xludf.DUMMYFUNCTION("""COMPUTED_VALUE"""),"ADVANCED CUSTOMER")</f>
        <v>ADVANCED CUSTOMER</v>
      </c>
      <c r="G510" s="15" t="str">
        <f ca="1">IFERROR(__xludf.DUMMYFUNCTION("""COMPUTED_VALUE"""),"B2C")</f>
        <v>B2C</v>
      </c>
      <c r="H510" s="15" t="str">
        <f ca="1">IFERROR(__xludf.DUMMYFUNCTION("""COMPUTED_VALUE"""),"RISHABH SINGH GOUR")</f>
        <v>RISHABH SINGH GOUR</v>
      </c>
    </row>
    <row r="511" spans="1:8">
      <c r="A511" s="15">
        <f ca="1">IFERROR(__xludf.DUMMYFUNCTION("""COMPUTED_VALUE"""),82)</f>
        <v>82</v>
      </c>
      <c r="B511" s="15" t="str">
        <f ca="1">IFERROR(__xludf.DUMMYFUNCTION("""COMPUTED_VALUE"""),"Ujjain")</f>
        <v>Ujjain</v>
      </c>
      <c r="C511" s="15" t="str">
        <f ca="1">IFERROR(__xludf.DUMMYFUNCTION("""COMPUTED_VALUE"""),"Aishwarya Dubey")</f>
        <v>Aishwarya Dubey</v>
      </c>
      <c r="D511" s="15">
        <f ca="1">IFERROR(__xludf.DUMMYFUNCTION("""COMPUTED_VALUE"""),1343360453)</f>
        <v>1343360453</v>
      </c>
      <c r="E511" s="28">
        <f ca="1">IFERROR(__xludf.DUMMYFUNCTION("""COMPUTED_VALUE"""),46167)</f>
        <v>46167</v>
      </c>
      <c r="F511" s="15" t="str">
        <f ca="1">IFERROR(__xludf.DUMMYFUNCTION("""COMPUTED_VALUE"""),"ADVANCED CUSTOMER")</f>
        <v>ADVANCED CUSTOMER</v>
      </c>
      <c r="G511" s="15" t="str">
        <f ca="1">IFERROR(__xludf.DUMMYFUNCTION("""COMPUTED_VALUE"""),"B2C")</f>
        <v>B2C</v>
      </c>
      <c r="H511" s="15" t="str">
        <f ca="1">IFERROR(__xludf.DUMMYFUNCTION("""COMPUTED_VALUE"""),"RISHABH SINGH GOUR")</f>
        <v>RISHABH SINGH GOUR</v>
      </c>
    </row>
    <row r="512" spans="1:8">
      <c r="A512" s="15">
        <f ca="1">IFERROR(__xludf.DUMMYFUNCTION("""COMPUTED_VALUE"""),83)</f>
        <v>83</v>
      </c>
      <c r="B512" s="15" t="str">
        <f ca="1">IFERROR(__xludf.DUMMYFUNCTION("""COMPUTED_VALUE"""),"Ujjain")</f>
        <v>Ujjain</v>
      </c>
      <c r="C512" s="15" t="str">
        <f ca="1">IFERROR(__xludf.DUMMYFUNCTION("""COMPUTED_VALUE"""),"India phosphate and allied industries Private limited")</f>
        <v>India phosphate and allied industries Private limited</v>
      </c>
      <c r="D512" s="15">
        <f ca="1">IFERROR(__xludf.DUMMYFUNCTION("""COMPUTED_VALUE"""),1167924079)</f>
        <v>1167924079</v>
      </c>
      <c r="E512" s="28">
        <f ca="1">IFERROR(__xludf.DUMMYFUNCTION("""COMPUTED_VALUE"""),46164)</f>
        <v>46164</v>
      </c>
      <c r="F512" s="15" t="str">
        <f ca="1">IFERROR(__xludf.DUMMYFUNCTION("""COMPUTED_VALUE"""),"ADVANCED CUSTOMER")</f>
        <v>ADVANCED CUSTOMER</v>
      </c>
      <c r="G512" s="15" t="str">
        <f ca="1">IFERROR(__xludf.DUMMYFUNCTION("""COMPUTED_VALUE"""),"B2C")</f>
        <v>B2C</v>
      </c>
      <c r="H512" s="15" t="str">
        <f ca="1">IFERROR(__xludf.DUMMYFUNCTION("""COMPUTED_VALUE"""),"RISHABH SINGH GOUR")</f>
        <v>RISHABH SINGH GOUR</v>
      </c>
    </row>
    <row r="513" spans="1:8">
      <c r="A513" s="15">
        <f ca="1">IFERROR(__xludf.DUMMYFUNCTION("""COMPUTED_VALUE"""),84)</f>
        <v>84</v>
      </c>
      <c r="B513" s="15" t="str">
        <f ca="1">IFERROR(__xludf.DUMMYFUNCTION("""COMPUTED_VALUE"""),"Ujjain")</f>
        <v>Ujjain</v>
      </c>
      <c r="C513" s="15" t="str">
        <f ca="1">IFERROR(__xludf.DUMMYFUNCTION("""COMPUTED_VALUE"""),"Your Fashion Store")</f>
        <v>Your Fashion Store</v>
      </c>
      <c r="D513" s="15">
        <f ca="1">IFERROR(__xludf.DUMMYFUNCTION("""COMPUTED_VALUE"""),1158709634)</f>
        <v>1158709634</v>
      </c>
      <c r="E513" s="28">
        <f ca="1">IFERROR(__xludf.DUMMYFUNCTION("""COMPUTED_VALUE"""),46154)</f>
        <v>46154</v>
      </c>
      <c r="F513" s="15" t="str">
        <f ca="1">IFERROR(__xludf.DUMMYFUNCTION("""COMPUTED_VALUE"""),"ADVANCED CUSTOMER")</f>
        <v>ADVANCED CUSTOMER</v>
      </c>
      <c r="G513" s="15" t="str">
        <f ca="1">IFERROR(__xludf.DUMMYFUNCTION("""COMPUTED_VALUE"""),"B2C")</f>
        <v>B2C</v>
      </c>
      <c r="H513" s="15" t="str">
        <f ca="1">IFERROR(__xludf.DUMMYFUNCTION("""COMPUTED_VALUE"""),"RISHABH SINGH GOUR")</f>
        <v>RISHABH SINGH GOUR</v>
      </c>
    </row>
    <row r="514" spans="1:8">
      <c r="A514" s="15">
        <f ca="1">IFERROR(__xludf.DUMMYFUNCTION("""COMPUTED_VALUE"""),85)</f>
        <v>85</v>
      </c>
      <c r="B514" s="15" t="str">
        <f ca="1">IFERROR(__xludf.DUMMYFUNCTION("""COMPUTED_VALUE"""),"Ujjain")</f>
        <v>Ujjain</v>
      </c>
      <c r="C514" s="15" t="str">
        <f ca="1">IFERROR(__xludf.DUMMYFUNCTION("""COMPUTED_VALUE"""),"Dr Yogesh Patidar")</f>
        <v>Dr Yogesh Patidar</v>
      </c>
      <c r="D514" s="15">
        <f ca="1">IFERROR(__xludf.DUMMYFUNCTION("""COMPUTED_VALUE"""),1661377226)</f>
        <v>1661377226</v>
      </c>
      <c r="E514" s="28">
        <f ca="1">IFERROR(__xludf.DUMMYFUNCTION("""COMPUTED_VALUE"""),46153)</f>
        <v>46153</v>
      </c>
      <c r="F514" s="15" t="str">
        <f ca="1">IFERROR(__xludf.DUMMYFUNCTION("""COMPUTED_VALUE"""),"ADVANCED CUSTOMER")</f>
        <v>ADVANCED CUSTOMER</v>
      </c>
      <c r="G514" s="15" t="str">
        <f ca="1">IFERROR(__xludf.DUMMYFUNCTION("""COMPUTED_VALUE"""),"B2C")</f>
        <v>B2C</v>
      </c>
      <c r="H514" s="15" t="str">
        <f ca="1">IFERROR(__xludf.DUMMYFUNCTION("""COMPUTED_VALUE"""),"RISHABH SINGH GOUR")</f>
        <v>RISHABH SINGH GOUR</v>
      </c>
    </row>
    <row r="515" spans="1:8">
      <c r="A515" s="15">
        <f ca="1">IFERROR(__xludf.DUMMYFUNCTION("""COMPUTED_VALUE"""),86)</f>
        <v>86</v>
      </c>
      <c r="B515" s="15" t="str">
        <f ca="1">IFERROR(__xludf.DUMMYFUNCTION("""COMPUTED_VALUE"""),"Ujjain")</f>
        <v>Ujjain</v>
      </c>
      <c r="C515" s="15" t="str">
        <f ca="1">IFERROR(__xludf.DUMMYFUNCTION("""COMPUTED_VALUE"""),"Sansa Healthcare")</f>
        <v>Sansa Healthcare</v>
      </c>
      <c r="D515" s="15">
        <f ca="1">IFERROR(__xludf.DUMMYFUNCTION("""COMPUTED_VALUE"""),1726288359)</f>
        <v>1726288359</v>
      </c>
      <c r="E515" s="28">
        <f ca="1">IFERROR(__xludf.DUMMYFUNCTION("""COMPUTED_VALUE"""),46185)</f>
        <v>46185</v>
      </c>
      <c r="F515" s="15" t="str">
        <f ca="1">IFERROR(__xludf.DUMMYFUNCTION("""COMPUTED_VALUE"""),"ADVANCED CUSTOMER")</f>
        <v>ADVANCED CUSTOMER</v>
      </c>
      <c r="G515" s="15" t="str">
        <f ca="1">IFERROR(__xludf.DUMMYFUNCTION("""COMPUTED_VALUE"""),"B2C")</f>
        <v>B2C</v>
      </c>
      <c r="H515" s="15" t="str">
        <f ca="1">IFERROR(__xludf.DUMMYFUNCTION("""COMPUTED_VALUE"""),"RISHABH SINGH GOUR")</f>
        <v>RISHABH SINGH GOUR</v>
      </c>
    </row>
    <row r="516" spans="1:8">
      <c r="A516" s="15">
        <f ca="1">IFERROR(__xludf.DUMMYFUNCTION("""COMPUTED_VALUE"""),87)</f>
        <v>87</v>
      </c>
      <c r="B516" s="15" t="str">
        <f ca="1">IFERROR(__xludf.DUMMYFUNCTION("""COMPUTED_VALUE"""),"Ujjain")</f>
        <v>Ujjain</v>
      </c>
      <c r="C516" s="15" t="str">
        <f ca="1">IFERROR(__xludf.DUMMYFUNCTION("""COMPUTED_VALUE"""),"AYAN PATEL")</f>
        <v>AYAN PATEL</v>
      </c>
      <c r="D516" s="15">
        <f ca="1">IFERROR(__xludf.DUMMYFUNCTION("""COMPUTED_VALUE"""),1144656423)</f>
        <v>1144656423</v>
      </c>
      <c r="E516" s="28">
        <f ca="1">IFERROR(__xludf.DUMMYFUNCTION("""COMPUTED_VALUE"""),46227)</f>
        <v>46227</v>
      </c>
      <c r="F516" s="15" t="str">
        <f ca="1">IFERROR(__xludf.DUMMYFUNCTION("""COMPUTED_VALUE"""),"ADVANCED CUSTOMER")</f>
        <v>ADVANCED CUSTOMER</v>
      </c>
      <c r="G516" s="15" t="str">
        <f ca="1">IFERROR(__xludf.DUMMYFUNCTION("""COMPUTED_VALUE"""),"B2C")</f>
        <v>B2C</v>
      </c>
      <c r="H516" s="15" t="str">
        <f ca="1">IFERROR(__xludf.DUMMYFUNCTION("""COMPUTED_VALUE"""),"RISHABH SINGH GOUR")</f>
        <v>RISHABH SINGH GOUR</v>
      </c>
    </row>
    <row r="517" spans="1:8">
      <c r="A517" s="15">
        <f ca="1">IFERROR(__xludf.DUMMYFUNCTION("""COMPUTED_VALUE"""),88)</f>
        <v>88</v>
      </c>
      <c r="B517" s="15" t="str">
        <f ca="1">IFERROR(__xludf.DUMMYFUNCTION("""COMPUTED_VALUE"""),"Ujjain")</f>
        <v>Ujjain</v>
      </c>
      <c r="C517" s="15" t="str">
        <f ca="1">IFERROR(__xludf.DUMMYFUNCTION("""COMPUTED_VALUE"""),"SHREE HORI METALS")</f>
        <v>SHREE HORI METALS</v>
      </c>
      <c r="D517" s="15">
        <f ca="1">IFERROR(__xludf.DUMMYFUNCTION("""COMPUTED_VALUE"""),1881759554)</f>
        <v>1881759554</v>
      </c>
      <c r="E517" s="28">
        <f ca="1">IFERROR(__xludf.DUMMYFUNCTION("""COMPUTED_VALUE"""),46225)</f>
        <v>46225</v>
      </c>
      <c r="F517" s="15" t="str">
        <f ca="1">IFERROR(__xludf.DUMMYFUNCTION("""COMPUTED_VALUE"""),"ADVANCED CUSTOMER")</f>
        <v>ADVANCED CUSTOMER</v>
      </c>
      <c r="G517" s="15" t="str">
        <f ca="1">IFERROR(__xludf.DUMMYFUNCTION("""COMPUTED_VALUE"""),"B2C")</f>
        <v>B2C</v>
      </c>
      <c r="H517" s="15" t="str">
        <f ca="1">IFERROR(__xludf.DUMMYFUNCTION("""COMPUTED_VALUE"""),"RISHABH SINGH GOUR")</f>
        <v>RISHABH SINGH GOUR</v>
      </c>
    </row>
    <row r="518" spans="1:8">
      <c r="A518" s="15">
        <f ca="1">IFERROR(__xludf.DUMMYFUNCTION("""COMPUTED_VALUE"""),89)</f>
        <v>89</v>
      </c>
      <c r="B518" s="15" t="str">
        <f ca="1">IFERROR(__xludf.DUMMYFUNCTION("""COMPUTED_VALUE"""),"Ujjain")</f>
        <v>Ujjain</v>
      </c>
      <c r="C518" s="15" t="str">
        <f ca="1">IFERROR(__xludf.DUMMYFUNCTION("""COMPUTED_VALUE"""),"Mayank Parmar")</f>
        <v>Mayank Parmar</v>
      </c>
      <c r="D518" s="15">
        <f ca="1">IFERROR(__xludf.DUMMYFUNCTION("""COMPUTED_VALUE"""),1132703381)</f>
        <v>1132703381</v>
      </c>
      <c r="E518" s="28">
        <f ca="1">IFERROR(__xludf.DUMMYFUNCTION("""COMPUTED_VALUE"""),46211)</f>
        <v>46211</v>
      </c>
      <c r="F518" s="15" t="str">
        <f ca="1">IFERROR(__xludf.DUMMYFUNCTION("""COMPUTED_VALUE"""),"ADVANCED CUSTOMER")</f>
        <v>ADVANCED CUSTOMER</v>
      </c>
      <c r="G518" s="15" t="str">
        <f ca="1">IFERROR(__xludf.DUMMYFUNCTION("""COMPUTED_VALUE"""),"B2C")</f>
        <v>B2C</v>
      </c>
      <c r="H518" s="15" t="str">
        <f ca="1">IFERROR(__xludf.DUMMYFUNCTION("""COMPUTED_VALUE"""),"RISHABH SINGH GOUR")</f>
        <v>RISHABH SINGH GOUR</v>
      </c>
    </row>
    <row r="519" spans="1:8">
      <c r="A519" s="15">
        <f ca="1">IFERROR(__xludf.DUMMYFUNCTION("""COMPUTED_VALUE"""),90)</f>
        <v>90</v>
      </c>
      <c r="B519" s="15" t="str">
        <f ca="1">IFERROR(__xludf.DUMMYFUNCTION("""COMPUTED_VALUE"""),"Ujjain")</f>
        <v>Ujjain</v>
      </c>
      <c r="C519" s="15" t="str">
        <f ca="1">IFERROR(__xludf.DUMMYFUNCTION("""COMPUTED_VALUE"""),"Harsh Ujjainiya")</f>
        <v>Harsh Ujjainiya</v>
      </c>
      <c r="D519" s="15">
        <f ca="1">IFERROR(__xludf.DUMMYFUNCTION("""COMPUTED_VALUE"""),1472077095)</f>
        <v>1472077095</v>
      </c>
      <c r="E519" s="28">
        <f ca="1">IFERROR(__xludf.DUMMYFUNCTION("""COMPUTED_VALUE"""),46211)</f>
        <v>46211</v>
      </c>
      <c r="F519" s="15" t="str">
        <f ca="1">IFERROR(__xludf.DUMMYFUNCTION("""COMPUTED_VALUE"""),"ADVANCED CUSTOMER")</f>
        <v>ADVANCED CUSTOMER</v>
      </c>
      <c r="G519" s="15" t="str">
        <f ca="1">IFERROR(__xludf.DUMMYFUNCTION("""COMPUTED_VALUE"""),"B2C")</f>
        <v>B2C</v>
      </c>
      <c r="H519" s="15" t="str">
        <f ca="1">IFERROR(__xludf.DUMMYFUNCTION("""COMPUTED_VALUE"""),"RISHABH SINGH GOUR")</f>
        <v>RISHABH SINGH GOUR</v>
      </c>
    </row>
    <row r="520" spans="1:8">
      <c r="A520" s="15">
        <f ca="1">IFERROR(__xludf.DUMMYFUNCTION("""COMPUTED_VALUE"""),91)</f>
        <v>91</v>
      </c>
      <c r="B520" s="15" t="str">
        <f ca="1">IFERROR(__xludf.DUMMYFUNCTION("""COMPUTED_VALUE"""),"Ujjain")</f>
        <v>Ujjain</v>
      </c>
      <c r="C520" s="15" t="str">
        <f ca="1">IFERROR(__xludf.DUMMYFUNCTION("""COMPUTED_VALUE"""),"Malwa Harbal Heena")</f>
        <v>Malwa Harbal Heena</v>
      </c>
      <c r="D520" s="15">
        <f ca="1">IFERROR(__xludf.DUMMYFUNCTION("""COMPUTED_VALUE"""),1719755056)</f>
        <v>1719755056</v>
      </c>
      <c r="E520" s="28">
        <f ca="1">IFERROR(__xludf.DUMMYFUNCTION("""COMPUTED_VALUE"""),46246)</f>
        <v>46246</v>
      </c>
      <c r="F520" s="15" t="str">
        <f ca="1">IFERROR(__xludf.DUMMYFUNCTION("""COMPUTED_VALUE"""),"ADVANCED CUSTOMER")</f>
        <v>ADVANCED CUSTOMER</v>
      </c>
      <c r="G520" s="15" t="str">
        <f ca="1">IFERROR(__xludf.DUMMYFUNCTION("""COMPUTED_VALUE"""),"B2C")</f>
        <v>B2C</v>
      </c>
      <c r="H520" s="15" t="str">
        <f ca="1">IFERROR(__xludf.DUMMYFUNCTION("""COMPUTED_VALUE"""),"RISHABH SINGH GOUR")</f>
        <v>RISHABH SINGH GOUR</v>
      </c>
    </row>
    <row r="521" spans="1:8">
      <c r="A521" s="15">
        <f ca="1">IFERROR(__xludf.DUMMYFUNCTION("""COMPUTED_VALUE"""),92)</f>
        <v>92</v>
      </c>
      <c r="B521" s="15" t="str">
        <f ca="1">IFERROR(__xludf.DUMMYFUNCTION("""COMPUTED_VALUE"""),"Ujjain")</f>
        <v>Ujjain</v>
      </c>
      <c r="C521" s="15" t="str">
        <f ca="1">IFERROR(__xludf.DUMMYFUNCTION("""COMPUTED_VALUE"""),"SMELL KILL")</f>
        <v>SMELL KILL</v>
      </c>
      <c r="D521" s="15">
        <f ca="1">IFERROR(__xludf.DUMMYFUNCTION("""COMPUTED_VALUE"""),1939800132)</f>
        <v>1939800132</v>
      </c>
      <c r="E521" s="28">
        <f ca="1">IFERROR(__xludf.DUMMYFUNCTION("""COMPUTED_VALUE"""),46254)</f>
        <v>46254</v>
      </c>
      <c r="F521" s="15" t="str">
        <f ca="1">IFERROR(__xludf.DUMMYFUNCTION("""COMPUTED_VALUE"""),"ADVANCED CUSTOMER")</f>
        <v>ADVANCED CUSTOMER</v>
      </c>
      <c r="G521" s="15" t="str">
        <f ca="1">IFERROR(__xludf.DUMMYFUNCTION("""COMPUTED_VALUE"""),"B2C")</f>
        <v>B2C</v>
      </c>
      <c r="H521" s="15" t="str">
        <f ca="1">IFERROR(__xludf.DUMMYFUNCTION("""COMPUTED_VALUE"""),"RISHABH SINGH GOUR")</f>
        <v>RISHABH SINGH GOUR</v>
      </c>
    </row>
    <row r="522" spans="1:8">
      <c r="A522" s="15">
        <f ca="1">IFERROR(__xludf.DUMMYFUNCTION("""COMPUTED_VALUE"""),93)</f>
        <v>93</v>
      </c>
      <c r="B522" s="15" t="str">
        <f ca="1">IFERROR(__xludf.DUMMYFUNCTION("""COMPUTED_VALUE"""),"Ujjain")</f>
        <v>Ujjain</v>
      </c>
      <c r="C522" s="15" t="str">
        <f ca="1">IFERROR(__xludf.DUMMYFUNCTION("""COMPUTED_VALUE"""),"Seva Satkar")</f>
        <v>Seva Satkar</v>
      </c>
      <c r="D522" s="15">
        <f ca="1">IFERROR(__xludf.DUMMYFUNCTION("""COMPUTED_VALUE"""),1766101758)</f>
        <v>1766101758</v>
      </c>
      <c r="E522" s="28"/>
      <c r="F522" s="15" t="str">
        <f ca="1">IFERROR(__xludf.DUMMYFUNCTION("""COMPUTED_VALUE"""),"ADVANCED CUSTOMER")</f>
        <v>ADVANCED CUSTOMER</v>
      </c>
      <c r="G522" s="15" t="str">
        <f ca="1">IFERROR(__xludf.DUMMYFUNCTION("""COMPUTED_VALUE"""),"B2C")</f>
        <v>B2C</v>
      </c>
      <c r="H522" s="15" t="str">
        <f ca="1">IFERROR(__xludf.DUMMYFUNCTION("""COMPUTED_VALUE"""),"RISHABH SINGH GOUR")</f>
        <v>RISHABH SINGH GOUR</v>
      </c>
    </row>
    <row r="523" spans="1:8">
      <c r="A523" s="15">
        <f ca="1">IFERROR(__xludf.DUMMYFUNCTION("""COMPUTED_VALUE"""),94)</f>
        <v>94</v>
      </c>
      <c r="B523" s="15" t="str">
        <f ca="1">IFERROR(__xludf.DUMMYFUNCTION("""COMPUTED_VALUE"""),"Ujjain")</f>
        <v>Ujjain</v>
      </c>
      <c r="C523" s="15" t="str">
        <f ca="1">IFERROR(__xludf.DUMMYFUNCTION("""COMPUTED_VALUE"""),"Digvijay Parashar")</f>
        <v>Digvijay Parashar</v>
      </c>
      <c r="D523" s="15">
        <f ca="1">IFERROR(__xludf.DUMMYFUNCTION("""COMPUTED_VALUE"""),1501610967)</f>
        <v>1501610967</v>
      </c>
      <c r="E523" s="28"/>
      <c r="F523" s="15" t="str">
        <f ca="1">IFERROR(__xludf.DUMMYFUNCTION("""COMPUTED_VALUE"""),"ADVANCED CUSTOMER")</f>
        <v>ADVANCED CUSTOMER</v>
      </c>
      <c r="G523" s="15" t="str">
        <f ca="1">IFERROR(__xludf.DUMMYFUNCTION("""COMPUTED_VALUE"""),"B2C")</f>
        <v>B2C</v>
      </c>
      <c r="H523" s="15" t="str">
        <f ca="1">IFERROR(__xludf.DUMMYFUNCTION("""COMPUTED_VALUE"""),"RISHABH SINGH GOUR")</f>
        <v>RISHABH SINGH GOUR</v>
      </c>
    </row>
    <row r="524" spans="1:8">
      <c r="A524" s="15">
        <f ca="1">IFERROR(__xludf.DUMMYFUNCTION("""COMPUTED_VALUE"""),95)</f>
        <v>95</v>
      </c>
      <c r="B524" s="15" t="str">
        <f ca="1">IFERROR(__xludf.DUMMYFUNCTION("""COMPUTED_VALUE"""),"Ujjain")</f>
        <v>Ujjain</v>
      </c>
      <c r="C524" s="15" t="str">
        <f ca="1">IFERROR(__xludf.DUMMYFUNCTION("""COMPUTED_VALUE"""),"Abhishek Sharma")</f>
        <v>Abhishek Sharma</v>
      </c>
      <c r="D524" s="15">
        <f ca="1">IFERROR(__xludf.DUMMYFUNCTION("""COMPUTED_VALUE"""),1240786559)</f>
        <v>1240786559</v>
      </c>
      <c r="E524" s="28"/>
      <c r="F524" s="15" t="str">
        <f ca="1">IFERROR(__xludf.DUMMYFUNCTION("""COMPUTED_VALUE"""),"ADVANCED CUSTOMER")</f>
        <v>ADVANCED CUSTOMER</v>
      </c>
      <c r="G524" s="15" t="str">
        <f ca="1">IFERROR(__xludf.DUMMYFUNCTION("""COMPUTED_VALUE"""),"B2C")</f>
        <v>B2C</v>
      </c>
      <c r="H524" s="15" t="str">
        <f ca="1">IFERROR(__xludf.DUMMYFUNCTION("""COMPUTED_VALUE"""),"RISHABH SINGH GOUR")</f>
        <v>RISHABH SINGH GOUR</v>
      </c>
    </row>
    <row r="525" spans="1:8">
      <c r="A525" s="15">
        <f ca="1">IFERROR(__xludf.DUMMYFUNCTION("""COMPUTED_VALUE"""),96)</f>
        <v>96</v>
      </c>
      <c r="B525" s="15" t="str">
        <f ca="1">IFERROR(__xludf.DUMMYFUNCTION("""COMPUTED_VALUE"""),"Ujjain")</f>
        <v>Ujjain</v>
      </c>
      <c r="C525" s="15" t="str">
        <f ca="1">IFERROR(__xludf.DUMMYFUNCTION("""COMPUTED_VALUE"""),"Abhiksha The Saree Queen")</f>
        <v>Abhiksha The Saree Queen</v>
      </c>
      <c r="D525" s="15">
        <f ca="1">IFERROR(__xludf.DUMMYFUNCTION("""COMPUTED_VALUE"""),1239332811)</f>
        <v>1239332811</v>
      </c>
      <c r="E525" s="28"/>
      <c r="F525" s="15" t="str">
        <f ca="1">IFERROR(__xludf.DUMMYFUNCTION("""COMPUTED_VALUE"""),"ADVANCED CUSTOMER")</f>
        <v>ADVANCED CUSTOMER</v>
      </c>
      <c r="G525" s="15" t="str">
        <f ca="1">IFERROR(__xludf.DUMMYFUNCTION("""COMPUTED_VALUE"""),"B2C")</f>
        <v>B2C</v>
      </c>
      <c r="H525" s="15" t="str">
        <f ca="1">IFERROR(__xludf.DUMMYFUNCTION("""COMPUTED_VALUE"""),"RISHABH SINGH GOUR")</f>
        <v>RISHABH SINGH GOUR</v>
      </c>
    </row>
    <row r="526" spans="1:8">
      <c r="A526" s="15">
        <f ca="1">IFERROR(__xludf.DUMMYFUNCTION("""COMPUTED_VALUE"""),97)</f>
        <v>97</v>
      </c>
      <c r="B526" s="15" t="str">
        <f ca="1">IFERROR(__xludf.DUMMYFUNCTION("""COMPUTED_VALUE"""),"Ujjain")</f>
        <v>Ujjain</v>
      </c>
      <c r="C526" s="15" t="str">
        <f ca="1">IFERROR(__xludf.DUMMYFUNCTION("""COMPUTED_VALUE"""),"Sansa Healthcare")</f>
        <v>Sansa Healthcare</v>
      </c>
      <c r="D526" s="15">
        <f ca="1">IFERROR(__xludf.DUMMYFUNCTION("""COMPUTED_VALUE"""),1726288359)</f>
        <v>1726288359</v>
      </c>
      <c r="E526" s="28"/>
      <c r="F526" s="15" t="str">
        <f ca="1">IFERROR(__xludf.DUMMYFUNCTION("""COMPUTED_VALUE"""),"ADVANCED CUSTOMER")</f>
        <v>ADVANCED CUSTOMER</v>
      </c>
      <c r="G526" s="15" t="str">
        <f ca="1">IFERROR(__xludf.DUMMYFUNCTION("""COMPUTED_VALUE"""),"B2C")</f>
        <v>B2C</v>
      </c>
      <c r="H526" s="15" t="str">
        <f ca="1">IFERROR(__xludf.DUMMYFUNCTION("""COMPUTED_VALUE"""),"RISHABH SINGH GOUR")</f>
        <v>RISHABH SINGH GOUR</v>
      </c>
    </row>
    <row r="527" spans="1:8">
      <c r="A527" s="15">
        <f ca="1">IFERROR(__xludf.DUMMYFUNCTION("""COMPUTED_VALUE"""),98)</f>
        <v>98</v>
      </c>
      <c r="B527" s="15" t="str">
        <f ca="1">IFERROR(__xludf.DUMMYFUNCTION("""COMPUTED_VALUE"""),"Ujjain")</f>
        <v>Ujjain</v>
      </c>
      <c r="C527" s="15" t="str">
        <f ca="1">IFERROR(__xludf.DUMMYFUNCTION("""COMPUTED_VALUE"""),"Aishwarya Dubey")</f>
        <v>Aishwarya Dubey</v>
      </c>
      <c r="D527" s="15">
        <f ca="1">IFERROR(__xludf.DUMMYFUNCTION("""COMPUTED_VALUE"""),1343360453)</f>
        <v>1343360453</v>
      </c>
      <c r="E527" s="28"/>
      <c r="F527" s="15" t="str">
        <f ca="1">IFERROR(__xludf.DUMMYFUNCTION("""COMPUTED_VALUE"""),"ADVANCED CUSTOMER")</f>
        <v>ADVANCED CUSTOMER</v>
      </c>
      <c r="G527" s="15" t="str">
        <f ca="1">IFERROR(__xludf.DUMMYFUNCTION("""COMPUTED_VALUE"""),"B2C")</f>
        <v>B2C</v>
      </c>
      <c r="H527" s="15" t="str">
        <f ca="1">IFERROR(__xludf.DUMMYFUNCTION("""COMPUTED_VALUE"""),"RISHABH SINGH GOUR")</f>
        <v>RISHABH SINGH GOUR</v>
      </c>
    </row>
    <row r="528" spans="1:8">
      <c r="A528" s="15">
        <f ca="1">IFERROR(__xludf.DUMMYFUNCTION("""COMPUTED_VALUE"""),99)</f>
        <v>99</v>
      </c>
      <c r="B528" s="15" t="str">
        <f ca="1">IFERROR(__xludf.DUMMYFUNCTION("""COMPUTED_VALUE"""),"Ujjain")</f>
        <v>Ujjain</v>
      </c>
      <c r="C528" s="15" t="str">
        <f ca="1">IFERROR(__xludf.DUMMYFUNCTION("""COMPUTED_VALUE"""),"Annapurna collection")</f>
        <v>Annapurna collection</v>
      </c>
      <c r="D528" s="15">
        <f ca="1">IFERROR(__xludf.DUMMYFUNCTION("""COMPUTED_VALUE"""),1425746086)</f>
        <v>1425746086</v>
      </c>
      <c r="E528" s="28"/>
      <c r="F528" s="15" t="str">
        <f ca="1">IFERROR(__xludf.DUMMYFUNCTION("""COMPUTED_VALUE"""),"ADVANCED CUSTOMER")</f>
        <v>ADVANCED CUSTOMER</v>
      </c>
      <c r="G528" s="15" t="str">
        <f ca="1">IFERROR(__xludf.DUMMYFUNCTION("""COMPUTED_VALUE"""),"B2C")</f>
        <v>B2C</v>
      </c>
      <c r="H528" s="15" t="str">
        <f ca="1">IFERROR(__xludf.DUMMYFUNCTION("""COMPUTED_VALUE"""),"RISHABH SINGH GOUR")</f>
        <v>RISHABH SINGH GOUR</v>
      </c>
    </row>
    <row r="529" spans="1:8">
      <c r="A529" s="15">
        <f ca="1">IFERROR(__xludf.DUMMYFUNCTION("""COMPUTED_VALUE"""),100)</f>
        <v>100</v>
      </c>
      <c r="B529" s="15" t="str">
        <f ca="1">IFERROR(__xludf.DUMMYFUNCTION("""COMPUTED_VALUE"""),"Ujjain")</f>
        <v>Ujjain</v>
      </c>
      <c r="C529" s="15" t="str">
        <f ca="1">IFERROR(__xludf.DUMMYFUNCTION("""COMPUTED_VALUE"""),"ABHIJEET SINGH PANWAR MAHENDRA JI")</f>
        <v>ABHIJEET SINGH PANWAR MAHENDRA JI</v>
      </c>
      <c r="D529" s="15">
        <f ca="1">IFERROR(__xludf.DUMMYFUNCTION("""COMPUTED_VALUE"""),1907228011)</f>
        <v>1907228011</v>
      </c>
      <c r="E529" s="28"/>
      <c r="F529" s="15" t="str">
        <f ca="1">IFERROR(__xludf.DUMMYFUNCTION("""COMPUTED_VALUE"""),"ADVANCED CUSTOMER")</f>
        <v>ADVANCED CUSTOMER</v>
      </c>
      <c r="G529" s="15" t="str">
        <f ca="1">IFERROR(__xludf.DUMMYFUNCTION("""COMPUTED_VALUE"""),"B2C")</f>
        <v>B2C</v>
      </c>
      <c r="H529" s="15" t="str">
        <f ca="1">IFERROR(__xludf.DUMMYFUNCTION("""COMPUTED_VALUE"""),"RISHABH SINGH GOUR")</f>
        <v>RISHABH SINGH GOUR</v>
      </c>
    </row>
    <row r="530" spans="1:8">
      <c r="A530" s="15">
        <f ca="1">IFERROR(__xludf.DUMMYFUNCTION("""COMPUTED_VALUE"""),101)</f>
        <v>101</v>
      </c>
      <c r="B530" s="15" t="str">
        <f ca="1">IFERROR(__xludf.DUMMYFUNCTION("""COMPUTED_VALUE"""),"Ujjain")</f>
        <v>Ujjain</v>
      </c>
      <c r="C530" s="15" t="str">
        <f ca="1">IFERROR(__xludf.DUMMYFUNCTION("""COMPUTED_VALUE"""),"MONISHKA TIWARI")</f>
        <v>MONISHKA TIWARI</v>
      </c>
      <c r="D530" s="15">
        <f ca="1">IFERROR(__xludf.DUMMYFUNCTION("""COMPUTED_VALUE"""),1780666446)</f>
        <v>1780666446</v>
      </c>
      <c r="E530" s="28"/>
      <c r="F530" s="15" t="str">
        <f ca="1">IFERROR(__xludf.DUMMYFUNCTION("""COMPUTED_VALUE"""),"ADVANCED CUSTOMER")</f>
        <v>ADVANCED CUSTOMER</v>
      </c>
      <c r="G530" s="15" t="str">
        <f ca="1">IFERROR(__xludf.DUMMYFUNCTION("""COMPUTED_VALUE"""),"B2C")</f>
        <v>B2C</v>
      </c>
      <c r="H530" s="15" t="str">
        <f ca="1">IFERROR(__xludf.DUMMYFUNCTION("""COMPUTED_VALUE"""),"RISHABH SINGH GOUR")</f>
        <v>RISHABH SINGH GOUR</v>
      </c>
    </row>
    <row r="531" spans="1:8">
      <c r="A531" s="15">
        <f ca="1">IFERROR(__xludf.DUMMYFUNCTION("""COMPUTED_VALUE"""),102)</f>
        <v>102</v>
      </c>
      <c r="B531" s="15" t="str">
        <f ca="1">IFERROR(__xludf.DUMMYFUNCTION("""COMPUTED_VALUE"""),"Ujjain")</f>
        <v>Ujjain</v>
      </c>
      <c r="C531" s="15" t="str">
        <f ca="1">IFERROR(__xludf.DUMMYFUNCTION("""COMPUTED_VALUE"""),"MUMTAZ BATIK")</f>
        <v>MUMTAZ BATIK</v>
      </c>
      <c r="D531" s="15">
        <f ca="1">IFERROR(__xludf.DUMMYFUNCTION("""COMPUTED_VALUE"""),1107368498)</f>
        <v>1107368498</v>
      </c>
      <c r="E531" s="28"/>
      <c r="F531" s="15" t="str">
        <f ca="1">IFERROR(__xludf.DUMMYFUNCTION("""COMPUTED_VALUE"""),"ADVANCED CUSTOMER")</f>
        <v>ADVANCED CUSTOMER</v>
      </c>
      <c r="G531" s="15" t="str">
        <f ca="1">IFERROR(__xludf.DUMMYFUNCTION("""COMPUTED_VALUE"""),"B2C")</f>
        <v>B2C</v>
      </c>
      <c r="H531" s="15" t="str">
        <f ca="1">IFERROR(__xludf.DUMMYFUNCTION("""COMPUTED_VALUE"""),"RISHABH SINGH GOUR")</f>
        <v>RISHABH SINGH GOUR</v>
      </c>
    </row>
    <row r="532" spans="1:8">
      <c r="A532" s="15">
        <f ca="1">IFERROR(__xludf.DUMMYFUNCTION("""COMPUTED_VALUE"""),2)</f>
        <v>2</v>
      </c>
      <c r="B532" s="15" t="str">
        <f ca="1">IFERROR(__xludf.DUMMYFUNCTION("""COMPUTED_VALUE"""),"RMS ID Dn")</f>
        <v>RMS ID Dn</v>
      </c>
      <c r="C532" s="15" t="str">
        <f ca="1">IFERROR(__xludf.DUMMYFUNCTION("""COMPUTED_VALUE"""),"Income Tax judgements")</f>
        <v>Income Tax judgements</v>
      </c>
      <c r="D532" s="15">
        <f ca="1">IFERROR(__xludf.DUMMYFUNCTION("""COMPUTED_VALUE"""),1510618050)</f>
        <v>1510618050</v>
      </c>
      <c r="E532" s="28">
        <f ca="1">IFERROR(__xludf.DUMMYFUNCTION("""COMPUTED_VALUE"""),46087)</f>
        <v>46087</v>
      </c>
      <c r="F532" s="15" t="str">
        <f ca="1">IFERROR(__xludf.DUMMYFUNCTION("""COMPUTED_VALUE"""),"Magazine Post")</f>
        <v>Magazine Post</v>
      </c>
      <c r="G532" s="15" t="str">
        <f ca="1">IFERROR(__xludf.DUMMYFUNCTION("""COMPUTED_VALUE"""),"B2C")</f>
        <v>B2C</v>
      </c>
      <c r="H532" s="15" t="str">
        <f ca="1">IFERROR(__xludf.DUMMYFUNCTION("""COMPUTED_VALUE"""),"Narendra Baviskar")</f>
        <v>Narendra Baviskar</v>
      </c>
    </row>
    <row r="533" spans="1:8">
      <c r="A533" s="15">
        <f ca="1">IFERROR(__xludf.DUMMYFUNCTION("""COMPUTED_VALUE"""),3)</f>
        <v>3</v>
      </c>
      <c r="B533" s="15" t="str">
        <f ca="1">IFERROR(__xludf.DUMMYFUNCTION("""COMPUTED_VALUE"""),"RMS ID Dn")</f>
        <v>RMS ID Dn</v>
      </c>
      <c r="C533" s="15" t="str">
        <f ca="1">IFERROR(__xludf.DUMMYFUNCTION("""COMPUTED_VALUE"""),"lucky xerox")</f>
        <v>lucky xerox</v>
      </c>
      <c r="D533" s="15">
        <f ca="1">IFERROR(__xludf.DUMMYFUNCTION("""COMPUTED_VALUE"""),1511219040)</f>
        <v>1511219040</v>
      </c>
      <c r="E533" s="28">
        <f ca="1">IFERROR(__xludf.DUMMYFUNCTION("""COMPUTED_VALUE"""),46087)</f>
        <v>46087</v>
      </c>
      <c r="F533" s="15" t="str">
        <f ca="1">IFERROR(__xludf.DUMMYFUNCTION("""COMPUTED_VALUE"""),"Indiapost Parcel Contractual")</f>
        <v>Indiapost Parcel Contractual</v>
      </c>
      <c r="G533" s="15" t="str">
        <f ca="1">IFERROR(__xludf.DUMMYFUNCTION("""COMPUTED_VALUE"""),"B2C")</f>
        <v>B2C</v>
      </c>
      <c r="H533" s="15" t="str">
        <f ca="1">IFERROR(__xludf.DUMMYFUNCTION("""COMPUTED_VALUE"""),"Narendra Baviskar")</f>
        <v>Narendra Baviskar</v>
      </c>
    </row>
    <row r="534" spans="1:8">
      <c r="A534" s="15">
        <f ca="1">IFERROR(__xludf.DUMMYFUNCTION("""COMPUTED_VALUE"""),4)</f>
        <v>4</v>
      </c>
      <c r="B534" s="15" t="str">
        <f ca="1">IFERROR(__xludf.DUMMYFUNCTION("""COMPUTED_VALUE"""),"RMS ID Dn")</f>
        <v>RMS ID Dn</v>
      </c>
      <c r="C534" s="15" t="str">
        <f ca="1">IFERROR(__xludf.DUMMYFUNCTION("""COMPUTED_VALUE"""),"jion media publications")</f>
        <v>jion media publications</v>
      </c>
      <c r="D534" s="15">
        <f ca="1">IFERROR(__xludf.DUMMYFUNCTION("""COMPUTED_VALUE"""),1528883544)</f>
        <v>1528883544</v>
      </c>
      <c r="E534" s="28">
        <f ca="1">IFERROR(__xludf.DUMMYFUNCTION("""COMPUTED_VALUE"""),46098)</f>
        <v>46098</v>
      </c>
      <c r="F534" s="15" t="str">
        <f ca="1">IFERROR(__xludf.DUMMYFUNCTION("""COMPUTED_VALUE"""),"Magazine Post")</f>
        <v>Magazine Post</v>
      </c>
      <c r="G534" s="15" t="str">
        <f ca="1">IFERROR(__xludf.DUMMYFUNCTION("""COMPUTED_VALUE"""),"B2C")</f>
        <v>B2C</v>
      </c>
      <c r="H534" s="15" t="str">
        <f ca="1">IFERROR(__xludf.DUMMYFUNCTION("""COMPUTED_VALUE"""),"Narendra Baviskar")</f>
        <v>Narendra Baviskar</v>
      </c>
    </row>
    <row r="535" spans="1:8">
      <c r="A535" s="15">
        <f ca="1">IFERROR(__xludf.DUMMYFUNCTION("""COMPUTED_VALUE"""),5)</f>
        <v>5</v>
      </c>
      <c r="B535" s="15" t="str">
        <f ca="1">IFERROR(__xludf.DUMMYFUNCTION("""COMPUTED_VALUE"""),"RMS ID Dn")</f>
        <v>RMS ID Dn</v>
      </c>
      <c r="C535" s="15" t="str">
        <f ca="1">IFERROR(__xludf.DUMMYFUNCTION("""COMPUTED_VALUE"""),"SATYADHI SHARMA CLASSES")</f>
        <v>SATYADHI SHARMA CLASSES</v>
      </c>
      <c r="D535" s="15">
        <f ca="1">IFERROR(__xludf.DUMMYFUNCTION("""COMPUTED_VALUE"""),1982335310)</f>
        <v>1982335310</v>
      </c>
      <c r="E535" s="28">
        <f ca="1">IFERROR(__xludf.DUMMYFUNCTION("""COMPUTED_VALUE"""),46101)</f>
        <v>46101</v>
      </c>
      <c r="F535" s="15" t="str">
        <f ca="1">IFERROR(__xludf.DUMMYFUNCTION("""COMPUTED_VALUE"""),"Indiapost Parcel Contractual")</f>
        <v>Indiapost Parcel Contractual</v>
      </c>
      <c r="G535" s="15" t="str">
        <f ca="1">IFERROR(__xludf.DUMMYFUNCTION("""COMPUTED_VALUE"""),"B2C")</f>
        <v>B2C</v>
      </c>
      <c r="H535" s="15" t="str">
        <f ca="1">IFERROR(__xludf.DUMMYFUNCTION("""COMPUTED_VALUE"""),"Narendra Baviskar")</f>
        <v>Narendra Baviskar</v>
      </c>
    </row>
    <row r="536" spans="1:8">
      <c r="A536" s="15">
        <f ca="1">IFERROR(__xludf.DUMMYFUNCTION("""COMPUTED_VALUE"""),6)</f>
        <v>6</v>
      </c>
      <c r="B536" s="15" t="str">
        <f ca="1">IFERROR(__xludf.DUMMYFUNCTION("""COMPUTED_VALUE"""),"RMS ID Dn")</f>
        <v>RMS ID Dn</v>
      </c>
      <c r="C536" s="15" t="str">
        <f ca="1">IFERROR(__xludf.DUMMYFUNCTION("""COMPUTED_VALUE"""),"SHREE KALOTA PATEL PUSHP")</f>
        <v>SHREE KALOTA PATEL PUSHP</v>
      </c>
      <c r="D536" s="15">
        <f ca="1">IFERROR(__xludf.DUMMYFUNCTION("""COMPUTED_VALUE"""),1612261697)</f>
        <v>1612261697</v>
      </c>
      <c r="E536" s="28">
        <f ca="1">IFERROR(__xludf.DUMMYFUNCTION("""COMPUTED_VALUE"""),46142)</f>
        <v>46142</v>
      </c>
      <c r="F536" s="15" t="str">
        <f ca="1">IFERROR(__xludf.DUMMYFUNCTION("""COMPUTED_VALUE"""),"Magazine Post")</f>
        <v>Magazine Post</v>
      </c>
      <c r="G536" s="15" t="str">
        <f ca="1">IFERROR(__xludf.DUMMYFUNCTION("""COMPUTED_VALUE"""),"B2C")</f>
        <v>B2C</v>
      </c>
      <c r="H536" s="15" t="str">
        <f ca="1">IFERROR(__xludf.DUMMYFUNCTION("""COMPUTED_VALUE"""),"Narendra Baviskar")</f>
        <v>Narendra Baviskar</v>
      </c>
    </row>
    <row r="537" spans="1:8">
      <c r="A537" s="15">
        <f ca="1">IFERROR(__xludf.DUMMYFUNCTION("""COMPUTED_VALUE"""),7)</f>
        <v>7</v>
      </c>
      <c r="B537" s="15" t="str">
        <f ca="1">IFERROR(__xludf.DUMMYFUNCTION("""COMPUTED_VALUE"""),"RMS ID Dn")</f>
        <v>RMS ID Dn</v>
      </c>
      <c r="C537" s="15" t="str">
        <f ca="1">IFERROR(__xludf.DUMMYFUNCTION("""COMPUTED_VALUE"""),"NIRMAN IAS")</f>
        <v>NIRMAN IAS</v>
      </c>
      <c r="D537" s="15">
        <f ca="1">IFERROR(__xludf.DUMMYFUNCTION("""COMPUTED_VALUE"""),3000070094)</f>
        <v>3000070094</v>
      </c>
      <c r="E537" s="28">
        <f ca="1">IFERROR(__xludf.DUMMYFUNCTION("""COMPUTED_VALUE"""),46150)</f>
        <v>46150</v>
      </c>
      <c r="F537" s="15" t="str">
        <f ca="1">IFERROR(__xludf.DUMMYFUNCTION("""COMPUTED_VALUE"""),"Registered Mails")</f>
        <v>Registered Mails</v>
      </c>
      <c r="G537" s="15" t="str">
        <f ca="1">IFERROR(__xludf.DUMMYFUNCTION("""COMPUTED_VALUE"""),"B2C")</f>
        <v>B2C</v>
      </c>
      <c r="H537" s="15" t="str">
        <f ca="1">IFERROR(__xludf.DUMMYFUNCTION("""COMPUTED_VALUE"""),"Narendra Baviskar")</f>
        <v>Narendra Baviskar</v>
      </c>
    </row>
    <row r="538" spans="1:8">
      <c r="A538" s="15">
        <f ca="1">IFERROR(__xludf.DUMMYFUNCTION("""COMPUTED_VALUE"""),8)</f>
        <v>8</v>
      </c>
      <c r="B538" s="15" t="str">
        <f ca="1">IFERROR(__xludf.DUMMYFUNCTION("""COMPUTED_VALUE"""),"RMS ID Dn")</f>
        <v>RMS ID Dn</v>
      </c>
      <c r="C538" s="15" t="str">
        <f ca="1">IFERROR(__xludf.DUMMYFUNCTION("""COMPUTED_VALUE"""),"Eye gear optics india private limited")</f>
        <v>Eye gear optics india private limited</v>
      </c>
      <c r="D538" s="15">
        <f ca="1">IFERROR(__xludf.DUMMYFUNCTION("""COMPUTED_VALUE"""),1721126209)</f>
        <v>1721126209</v>
      </c>
      <c r="E538" s="28">
        <f ca="1">IFERROR(__xludf.DUMMYFUNCTION("""COMPUTED_VALUE"""),46156)</f>
        <v>46156</v>
      </c>
      <c r="F538" s="15" t="str">
        <f ca="1">IFERROR(__xludf.DUMMYFUNCTION("""COMPUTED_VALUE"""),"Registered Mails")</f>
        <v>Registered Mails</v>
      </c>
      <c r="G538" s="15" t="str">
        <f ca="1">IFERROR(__xludf.DUMMYFUNCTION("""COMPUTED_VALUE"""),"B2C")</f>
        <v>B2C</v>
      </c>
      <c r="H538" s="15" t="str">
        <f ca="1">IFERROR(__xludf.DUMMYFUNCTION("""COMPUTED_VALUE"""),"Narendra Baviskar")</f>
        <v>Narendra Baviskar</v>
      </c>
    </row>
    <row r="539" spans="1:8">
      <c r="A539" s="15">
        <f ca="1">IFERROR(__xludf.DUMMYFUNCTION("""COMPUTED_VALUE"""),9)</f>
        <v>9</v>
      </c>
      <c r="B539" s="15" t="str">
        <f ca="1">IFERROR(__xludf.DUMMYFUNCTION("""COMPUTED_VALUE"""),"RMS ID Dn")</f>
        <v>RMS ID Dn</v>
      </c>
      <c r="C539" s="15" t="str">
        <f ca="1">IFERROR(__xludf.DUMMYFUNCTION("""COMPUTED_VALUE"""),"AKSHAY ENGINEERING")</f>
        <v>AKSHAY ENGINEERING</v>
      </c>
      <c r="D539" s="15">
        <f ca="1">IFERROR(__xludf.DUMMYFUNCTION("""COMPUTED_VALUE"""),1597110634)</f>
        <v>1597110634</v>
      </c>
      <c r="E539" s="28">
        <f ca="1">IFERROR(__xludf.DUMMYFUNCTION("""COMPUTED_VALUE"""),46161)</f>
        <v>46161</v>
      </c>
      <c r="F539" s="15" t="str">
        <f ca="1">IFERROR(__xludf.DUMMYFUNCTION("""COMPUTED_VALUE"""),"Registered Mails")</f>
        <v>Registered Mails</v>
      </c>
      <c r="G539" s="15" t="str">
        <f ca="1">IFERROR(__xludf.DUMMYFUNCTION("""COMPUTED_VALUE"""),"B2C")</f>
        <v>B2C</v>
      </c>
      <c r="H539" s="15" t="str">
        <f ca="1">IFERROR(__xludf.DUMMYFUNCTION("""COMPUTED_VALUE"""),"Narendra Baviskar")</f>
        <v>Narendra Baviskar</v>
      </c>
    </row>
    <row r="540" spans="1:8">
      <c r="A540" s="15">
        <f ca="1">IFERROR(__xludf.DUMMYFUNCTION("""COMPUTED_VALUE"""),10)</f>
        <v>10</v>
      </c>
      <c r="B540" s="15" t="str">
        <f ca="1">IFERROR(__xludf.DUMMYFUNCTION("""COMPUTED_VALUE"""),"RMS ID Dn")</f>
        <v>RMS ID Dn</v>
      </c>
      <c r="C540" s="15" t="str">
        <f ca="1">IFERROR(__xludf.DUMMYFUNCTION("""COMPUTED_VALUE"""),"DELIGHTS ELECTRICALS PRIVATE LIMITED")</f>
        <v>DELIGHTS ELECTRICALS PRIVATE LIMITED</v>
      </c>
      <c r="D540" s="15">
        <f ca="1">IFERROR(__xludf.DUMMYFUNCTION("""COMPUTED_VALUE"""),1636228640)</f>
        <v>1636228640</v>
      </c>
      <c r="E540" s="28">
        <f ca="1">IFERROR(__xludf.DUMMYFUNCTION("""COMPUTED_VALUE"""),46161)</f>
        <v>46161</v>
      </c>
      <c r="F540" s="15" t="str">
        <f ca="1">IFERROR(__xludf.DUMMYFUNCTION("""COMPUTED_VALUE"""),"Speed Post ParcelÂ Domestic")</f>
        <v>Speed Post ParcelÂ Domestic</v>
      </c>
      <c r="G540" s="15" t="str">
        <f ca="1">IFERROR(__xludf.DUMMYFUNCTION("""COMPUTED_VALUE"""),"B2C")</f>
        <v>B2C</v>
      </c>
      <c r="H540" s="15" t="str">
        <f ca="1">IFERROR(__xludf.DUMMYFUNCTION("""COMPUTED_VALUE"""),"Narendra Baviskar")</f>
        <v>Narendra Baviskar</v>
      </c>
    </row>
    <row r="541" spans="1:8">
      <c r="A541" s="15">
        <f ca="1">IFERROR(__xludf.DUMMYFUNCTION("""COMPUTED_VALUE"""),11)</f>
        <v>11</v>
      </c>
      <c r="B541" s="15" t="str">
        <f ca="1">IFERROR(__xludf.DUMMYFUNCTION("""COMPUTED_VALUE"""),"RMS ID Dn")</f>
        <v>RMS ID Dn</v>
      </c>
      <c r="C541" s="15" t="str">
        <f ca="1">IFERROR(__xludf.DUMMYFUNCTION("""COMPUTED_VALUE"""),"TAX LAW DECISIONS")</f>
        <v>TAX LAW DECISIONS</v>
      </c>
      <c r="D541" s="15">
        <f ca="1">IFERROR(__xludf.DUMMYFUNCTION("""COMPUTED_VALUE"""),1566240524)</f>
        <v>1566240524</v>
      </c>
      <c r="E541" s="28">
        <f ca="1">IFERROR(__xludf.DUMMYFUNCTION("""COMPUTED_VALUE"""),46164)</f>
        <v>46164</v>
      </c>
      <c r="F541" s="15" t="str">
        <f ca="1">IFERROR(__xludf.DUMMYFUNCTION("""COMPUTED_VALUE"""),"Magazine Post")</f>
        <v>Magazine Post</v>
      </c>
      <c r="G541" s="15" t="str">
        <f ca="1">IFERROR(__xludf.DUMMYFUNCTION("""COMPUTED_VALUE"""),"B2C")</f>
        <v>B2C</v>
      </c>
      <c r="H541" s="15" t="str">
        <f ca="1">IFERROR(__xludf.DUMMYFUNCTION("""COMPUTED_VALUE"""),"Narendra Baviskar")</f>
        <v>Narendra Baviskar</v>
      </c>
    </row>
    <row r="542" spans="1:8">
      <c r="A542" s="15">
        <f ca="1">IFERROR(__xludf.DUMMYFUNCTION("""COMPUTED_VALUE"""),12)</f>
        <v>12</v>
      </c>
      <c r="B542" s="15" t="str">
        <f ca="1">IFERROR(__xludf.DUMMYFUNCTION("""COMPUTED_VALUE"""),"RMS ID Dn")</f>
        <v>RMS ID Dn</v>
      </c>
      <c r="C542" s="15" t="str">
        <f ca="1">IFERROR(__xludf.DUMMYFUNCTION("""COMPUTED_VALUE"""),"GYAN PUBLICATIN")</f>
        <v>GYAN PUBLICATIN</v>
      </c>
      <c r="D542" s="15">
        <f ca="1">IFERROR(__xludf.DUMMYFUNCTION("""COMPUTED_VALUE"""),1584356202)</f>
        <v>1584356202</v>
      </c>
      <c r="E542" s="28">
        <f ca="1">IFERROR(__xludf.DUMMYFUNCTION("""COMPUTED_VALUE"""),46167)</f>
        <v>46167</v>
      </c>
      <c r="F542" s="15" t="str">
        <f ca="1">IFERROR(__xludf.DUMMYFUNCTION("""COMPUTED_VALUE"""),"Magazine Post")</f>
        <v>Magazine Post</v>
      </c>
      <c r="G542" s="15" t="str">
        <f ca="1">IFERROR(__xludf.DUMMYFUNCTION("""COMPUTED_VALUE"""),"B2C")</f>
        <v>B2C</v>
      </c>
      <c r="H542" s="15" t="str">
        <f ca="1">IFERROR(__xludf.DUMMYFUNCTION("""COMPUTED_VALUE"""),"Narendra Baviskar")</f>
        <v>Narendra Baviskar</v>
      </c>
    </row>
    <row r="543" spans="1:8">
      <c r="A543" s="15">
        <f ca="1">IFERROR(__xludf.DUMMYFUNCTION("""COMPUTED_VALUE"""),13)</f>
        <v>13</v>
      </c>
      <c r="B543" s="15" t="str">
        <f ca="1">IFERROR(__xludf.DUMMYFUNCTION("""COMPUTED_VALUE"""),"RMS ID Dn")</f>
        <v>RMS ID Dn</v>
      </c>
      <c r="C543" s="15" t="str">
        <f ca="1">IFERROR(__xludf.DUMMYFUNCTION("""COMPUTED_VALUE"""),"A2U-ACADAMY OF ACHIEVERS /C/O KARMA IAS")</f>
        <v>A2U-ACADAMY OF ACHIEVERS /C/O KARMA IAS</v>
      </c>
      <c r="D543" s="15">
        <f ca="1">IFERROR(__xludf.DUMMYFUNCTION("""COMPUTED_VALUE"""),1984901649)</f>
        <v>1984901649</v>
      </c>
      <c r="E543" s="28">
        <f ca="1">IFERROR(__xludf.DUMMYFUNCTION("""COMPUTED_VALUE"""),46167)</f>
        <v>46167</v>
      </c>
      <c r="F543" s="15" t="str">
        <f ca="1">IFERROR(__xludf.DUMMYFUNCTION("""COMPUTED_VALUE"""),"Registered Mails")</f>
        <v>Registered Mails</v>
      </c>
      <c r="G543" s="15" t="str">
        <f ca="1">IFERROR(__xludf.DUMMYFUNCTION("""COMPUTED_VALUE"""),"B2C")</f>
        <v>B2C</v>
      </c>
      <c r="H543" s="15" t="str">
        <f ca="1">IFERROR(__xludf.DUMMYFUNCTION("""COMPUTED_VALUE"""),"Narendra Baviskar")</f>
        <v>Narendra Baviskar</v>
      </c>
    </row>
    <row r="544" spans="1:8">
      <c r="A544" s="15">
        <f ca="1">IFERROR(__xludf.DUMMYFUNCTION("""COMPUTED_VALUE"""),14)</f>
        <v>14</v>
      </c>
      <c r="B544" s="15" t="str">
        <f ca="1">IFERROR(__xludf.DUMMYFUNCTION("""COMPUTED_VALUE"""),"RMS ID Dn")</f>
        <v>RMS ID Dn</v>
      </c>
      <c r="C544" s="15" t="str">
        <f ca="1">IFERROR(__xludf.DUMMYFUNCTION("""COMPUTED_VALUE"""),"SIMRAN NUTRIFOODS LTD")</f>
        <v>SIMRAN NUTRIFOODS LTD</v>
      </c>
      <c r="D544" s="15">
        <f ca="1">IFERROR(__xludf.DUMMYFUNCTION("""COMPUTED_VALUE"""),1793876561)</f>
        <v>1793876561</v>
      </c>
      <c r="E544" s="28">
        <f ca="1">IFERROR(__xludf.DUMMYFUNCTION("""COMPUTED_VALUE"""),46177)</f>
        <v>46177</v>
      </c>
      <c r="F544" s="15" t="str">
        <f ca="1">IFERROR(__xludf.DUMMYFUNCTION("""COMPUTED_VALUE"""),"Speed Post")</f>
        <v>Speed Post</v>
      </c>
      <c r="G544" s="15" t="str">
        <f ca="1">IFERROR(__xludf.DUMMYFUNCTION("""COMPUTED_VALUE"""),"B2C")</f>
        <v>B2C</v>
      </c>
      <c r="H544" s="15" t="str">
        <f ca="1">IFERROR(__xludf.DUMMYFUNCTION("""COMPUTED_VALUE"""),"Narendra Baviskar")</f>
        <v>Narendra Baviskar</v>
      </c>
    </row>
    <row r="545" spans="1:8">
      <c r="A545" s="15">
        <f ca="1">IFERROR(__xludf.DUMMYFUNCTION("""COMPUTED_VALUE"""),15)</f>
        <v>15</v>
      </c>
      <c r="B545" s="15" t="str">
        <f ca="1">IFERROR(__xludf.DUMMYFUNCTION("""COMPUTED_VALUE"""),"RMS ID Dn")</f>
        <v>RMS ID Dn</v>
      </c>
      <c r="C545" s="15" t="str">
        <f ca="1">IFERROR(__xludf.DUMMYFUNCTION("""COMPUTED_VALUE"""),"MAHESH BANSAL")</f>
        <v>MAHESH BANSAL</v>
      </c>
      <c r="D545" s="15">
        <f ca="1">IFERROR(__xludf.DUMMYFUNCTION("""COMPUTED_VALUE"""),1690566125)</f>
        <v>1690566125</v>
      </c>
      <c r="E545" s="28">
        <f ca="1">IFERROR(__xludf.DUMMYFUNCTION("""COMPUTED_VALUE"""),46209)</f>
        <v>46209</v>
      </c>
      <c r="F545" s="15" t="str">
        <f ca="1">IFERROR(__xludf.DUMMYFUNCTION("""COMPUTED_VALUE"""),"Speed Post")</f>
        <v>Speed Post</v>
      </c>
      <c r="G545" s="15" t="str">
        <f ca="1">IFERROR(__xludf.DUMMYFUNCTION("""COMPUTED_VALUE"""),"B2C")</f>
        <v>B2C</v>
      </c>
      <c r="H545" s="15" t="str">
        <f ca="1">IFERROR(__xludf.DUMMYFUNCTION("""COMPUTED_VALUE"""),"Narendra Baviskar")</f>
        <v>Narendra Baviskar</v>
      </c>
    </row>
    <row r="546" spans="1:8">
      <c r="A546" s="15">
        <f ca="1">IFERROR(__xludf.DUMMYFUNCTION("""COMPUTED_VALUE"""),16)</f>
        <v>16</v>
      </c>
      <c r="B546" s="15" t="str">
        <f ca="1">IFERROR(__xludf.DUMMYFUNCTION("""COMPUTED_VALUE"""),"RMS ID Dn")</f>
        <v>RMS ID Dn</v>
      </c>
      <c r="C546" s="15" t="str">
        <f ca="1">IFERROR(__xludf.DUMMYFUNCTION("""COMPUTED_VALUE"""),"MASTER MACHINES")</f>
        <v>MASTER MACHINES</v>
      </c>
      <c r="D546" s="15">
        <f ca="1">IFERROR(__xludf.DUMMYFUNCTION("""COMPUTED_VALUE"""),1159627933)</f>
        <v>1159627933</v>
      </c>
      <c r="E546" s="28">
        <f ca="1">IFERROR(__xludf.DUMMYFUNCTION("""COMPUTED_VALUE"""),46210)</f>
        <v>46210</v>
      </c>
      <c r="F546" s="15" t="str">
        <f ca="1">IFERROR(__xludf.DUMMYFUNCTION("""COMPUTED_VALUE"""),"Registered Mails")</f>
        <v>Registered Mails</v>
      </c>
      <c r="G546" s="15" t="str">
        <f ca="1">IFERROR(__xludf.DUMMYFUNCTION("""COMPUTED_VALUE"""),"B2C")</f>
        <v>B2C</v>
      </c>
      <c r="H546" s="15" t="str">
        <f ca="1">IFERROR(__xludf.DUMMYFUNCTION("""COMPUTED_VALUE"""),"Narendra Baviskar")</f>
        <v>Narendra Baviskar</v>
      </c>
    </row>
    <row r="547" spans="1:8">
      <c r="A547" s="15">
        <f ca="1">IFERROR(__xludf.DUMMYFUNCTION("""COMPUTED_VALUE"""),17)</f>
        <v>17</v>
      </c>
      <c r="B547" s="15" t="str">
        <f ca="1">IFERROR(__xludf.DUMMYFUNCTION("""COMPUTED_VALUE"""),"RMS ID Dn")</f>
        <v>RMS ID Dn</v>
      </c>
      <c r="C547" s="15" t="str">
        <f ca="1">IFERROR(__xludf.DUMMYFUNCTION("""COMPUTED_VALUE"""),"KUNDAN ART JEWELLERS")</f>
        <v>KUNDAN ART JEWELLERS</v>
      </c>
      <c r="D547" s="15">
        <f ca="1">IFERROR(__xludf.DUMMYFUNCTION("""COMPUTED_VALUE"""),1222061051)</f>
        <v>1222061051</v>
      </c>
      <c r="E547" s="28">
        <f ca="1">IFERROR(__xludf.DUMMYFUNCTION("""COMPUTED_VALUE"""),46210)</f>
        <v>46210</v>
      </c>
      <c r="F547" s="15" t="str">
        <f ca="1">IFERROR(__xludf.DUMMYFUNCTION("""COMPUTED_VALUE"""),"Speed Post")</f>
        <v>Speed Post</v>
      </c>
      <c r="G547" s="15" t="str">
        <f ca="1">IFERROR(__xludf.DUMMYFUNCTION("""COMPUTED_VALUE"""),"B2C")</f>
        <v>B2C</v>
      </c>
      <c r="H547" s="15" t="str">
        <f ca="1">IFERROR(__xludf.DUMMYFUNCTION("""COMPUTED_VALUE"""),"Narendra Baviskar")</f>
        <v>Narendra Baviskar</v>
      </c>
    </row>
    <row r="548" spans="1:8">
      <c r="A548" s="15">
        <f ca="1">IFERROR(__xludf.DUMMYFUNCTION("""COMPUTED_VALUE"""),18)</f>
        <v>18</v>
      </c>
      <c r="B548" s="15" t="str">
        <f ca="1">IFERROR(__xludf.DUMMYFUNCTION("""COMPUTED_VALUE"""),"RMS ID Dn")</f>
        <v>RMS ID Dn</v>
      </c>
      <c r="C548" s="15" t="str">
        <f ca="1">IFERROR(__xludf.DUMMYFUNCTION("""COMPUTED_VALUE"""),"SARASWATI BAL KALYAN NYAS")</f>
        <v>SARASWATI BAL KALYAN NYAS</v>
      </c>
      <c r="D548" s="15">
        <f ca="1">IFERROR(__xludf.DUMMYFUNCTION("""COMPUTED_VALUE"""),1296215964)</f>
        <v>1296215964</v>
      </c>
      <c r="E548" s="28">
        <f ca="1">IFERROR(__xludf.DUMMYFUNCTION("""COMPUTED_VALUE"""),46220)</f>
        <v>46220</v>
      </c>
      <c r="F548" s="15" t="str">
        <f ca="1">IFERROR(__xludf.DUMMYFUNCTION("""COMPUTED_VALUE"""),"Indiapost Parcel Contractual")</f>
        <v>Indiapost Parcel Contractual</v>
      </c>
      <c r="G548" s="15" t="str">
        <f ca="1">IFERROR(__xludf.DUMMYFUNCTION("""COMPUTED_VALUE"""),"B2C")</f>
        <v>B2C</v>
      </c>
      <c r="H548" s="15" t="str">
        <f ca="1">IFERROR(__xludf.DUMMYFUNCTION("""COMPUTED_VALUE"""),"Narendra Baviskar")</f>
        <v>Narendra Baviskar</v>
      </c>
    </row>
    <row r="549" spans="1:8">
      <c r="A549" s="15">
        <f ca="1">IFERROR(__xludf.DUMMYFUNCTION("""COMPUTED_VALUE"""),19)</f>
        <v>19</v>
      </c>
      <c r="B549" s="15" t="str">
        <f ca="1">IFERROR(__xludf.DUMMYFUNCTION("""COMPUTED_VALUE"""),"RMS ID Dn")</f>
        <v>RMS ID Dn</v>
      </c>
      <c r="C549" s="15" t="str">
        <f ca="1">IFERROR(__xludf.DUMMYFUNCTION("""COMPUTED_VALUE"""),"SAPTSHRUNGI CREATIONS")</f>
        <v>SAPTSHRUNGI CREATIONS</v>
      </c>
      <c r="D549" s="15">
        <f ca="1">IFERROR(__xludf.DUMMYFUNCTION("""COMPUTED_VALUE"""),1385448578)</f>
        <v>1385448578</v>
      </c>
      <c r="E549" s="28">
        <f ca="1">IFERROR(__xludf.DUMMYFUNCTION("""COMPUTED_VALUE"""),46221)</f>
        <v>46221</v>
      </c>
      <c r="F549" s="15" t="str">
        <f ca="1">IFERROR(__xludf.DUMMYFUNCTION("""COMPUTED_VALUE"""),"Speed Post")</f>
        <v>Speed Post</v>
      </c>
      <c r="G549" s="15" t="str">
        <f ca="1">IFERROR(__xludf.DUMMYFUNCTION("""COMPUTED_VALUE"""),"B2C")</f>
        <v>B2C</v>
      </c>
      <c r="H549" s="15" t="str">
        <f ca="1">IFERROR(__xludf.DUMMYFUNCTION("""COMPUTED_VALUE"""),"Narendra Baviskar")</f>
        <v>Narendra Baviskar</v>
      </c>
    </row>
    <row r="550" spans="1:8">
      <c r="A550" s="15">
        <f ca="1">IFERROR(__xludf.DUMMYFUNCTION("""COMPUTED_VALUE"""),20)</f>
        <v>20</v>
      </c>
      <c r="B550" s="15" t="str">
        <f ca="1">IFERROR(__xludf.DUMMYFUNCTION("""COMPUTED_VALUE"""),"RMS ID Dn")</f>
        <v>RMS ID Dn</v>
      </c>
      <c r="C550" s="15" t="str">
        <f ca="1">IFERROR(__xludf.DUMMYFUNCTION("""COMPUTED_VALUE"""),"hagnos marketing and consulting pvt ltd")</f>
        <v>hagnos marketing and consulting pvt ltd</v>
      </c>
      <c r="D550" s="15">
        <f ca="1">IFERROR(__xludf.DUMMYFUNCTION("""COMPUTED_VALUE"""),1440725028)</f>
        <v>1440725028</v>
      </c>
      <c r="E550" s="28">
        <f ca="1">IFERROR(__xludf.DUMMYFUNCTION("""COMPUTED_VALUE"""),46226)</f>
        <v>46226</v>
      </c>
      <c r="F550" s="15" t="str">
        <f ca="1">IFERROR(__xludf.DUMMYFUNCTION("""COMPUTED_VALUE"""),"Speed Post")</f>
        <v>Speed Post</v>
      </c>
      <c r="G550" s="15" t="str">
        <f ca="1">IFERROR(__xludf.DUMMYFUNCTION("""COMPUTED_VALUE"""),"B2C")</f>
        <v>B2C</v>
      </c>
      <c r="H550" s="15" t="str">
        <f ca="1">IFERROR(__xludf.DUMMYFUNCTION("""COMPUTED_VALUE"""),"Narendra Baviskar")</f>
        <v>Narendra Baviskar</v>
      </c>
    </row>
    <row r="551" spans="1:8">
      <c r="A551" s="15">
        <f ca="1">IFERROR(__xludf.DUMMYFUNCTION("""COMPUTED_VALUE"""),21)</f>
        <v>21</v>
      </c>
      <c r="B551" s="15" t="str">
        <f ca="1">IFERROR(__xludf.DUMMYFUNCTION("""COMPUTED_VALUE"""),"RMS ID Dn")</f>
        <v>RMS ID Dn</v>
      </c>
      <c r="C551" s="15" t="str">
        <f ca="1">IFERROR(__xludf.DUMMYFUNCTION("""COMPUTED_VALUE"""),"THEFEARLESSTORE")</f>
        <v>THEFEARLESSTORE</v>
      </c>
      <c r="D551" s="15">
        <f ca="1">IFERROR(__xludf.DUMMYFUNCTION("""COMPUTED_VALUE"""),1251855627)</f>
        <v>1251855627</v>
      </c>
      <c r="E551" s="28">
        <f ca="1">IFERROR(__xludf.DUMMYFUNCTION("""COMPUTED_VALUE"""),46228)</f>
        <v>46228</v>
      </c>
      <c r="F551" s="15" t="str">
        <f ca="1">IFERROR(__xludf.DUMMYFUNCTION("""COMPUTED_VALUE"""),"International EMS Document")</f>
        <v>International EMS Document</v>
      </c>
      <c r="G551" s="15" t="str">
        <f ca="1">IFERROR(__xludf.DUMMYFUNCTION("""COMPUTED_VALUE"""),"B2C")</f>
        <v>B2C</v>
      </c>
      <c r="H551" s="15" t="str">
        <f ca="1">IFERROR(__xludf.DUMMYFUNCTION("""COMPUTED_VALUE"""),"Narendra Baviskar")</f>
        <v>Narendra Baviskar</v>
      </c>
    </row>
    <row r="552" spans="1:8">
      <c r="A552" s="15">
        <f ca="1">IFERROR(__xludf.DUMMYFUNCTION("""COMPUTED_VALUE"""),22)</f>
        <v>22</v>
      </c>
      <c r="B552" s="15" t="str">
        <f ca="1">IFERROR(__xludf.DUMMYFUNCTION("""COMPUTED_VALUE"""),"RMS ID Dn")</f>
        <v>RMS ID Dn</v>
      </c>
      <c r="C552" s="15" t="str">
        <f ca="1">IFERROR(__xludf.DUMMYFUNCTION("""COMPUTED_VALUE"""),"Creative printers")</f>
        <v>Creative printers</v>
      </c>
      <c r="D552" s="15">
        <f ca="1">IFERROR(__xludf.DUMMYFUNCTION("""COMPUTED_VALUE"""),1315432361)</f>
        <v>1315432361</v>
      </c>
      <c r="E552" s="28">
        <f ca="1">IFERROR(__xludf.DUMMYFUNCTION("""COMPUTED_VALUE"""),46235)</f>
        <v>46235</v>
      </c>
      <c r="F552" s="15" t="str">
        <f ca="1">IFERROR(__xludf.DUMMYFUNCTION("""COMPUTED_VALUE"""),"Indiapost Parcel Contractual")</f>
        <v>Indiapost Parcel Contractual</v>
      </c>
      <c r="G552" s="15" t="str">
        <f ca="1">IFERROR(__xludf.DUMMYFUNCTION("""COMPUTED_VALUE"""),"B2C")</f>
        <v>B2C</v>
      </c>
      <c r="H552" s="15" t="str">
        <f ca="1">IFERROR(__xludf.DUMMYFUNCTION("""COMPUTED_VALUE"""),"Narendra Baviskar")</f>
        <v>Narendra Baviskar</v>
      </c>
    </row>
    <row r="553" spans="1:8">
      <c r="A553" s="15">
        <f ca="1">IFERROR(__xludf.DUMMYFUNCTION("""COMPUTED_VALUE"""),23)</f>
        <v>23</v>
      </c>
      <c r="B553" s="15" t="str">
        <f ca="1">IFERROR(__xludf.DUMMYFUNCTION("""COMPUTED_VALUE"""),"RMS ID Dn")</f>
        <v>RMS ID Dn</v>
      </c>
      <c r="C553" s="15" t="str">
        <f ca="1">IFERROR(__xludf.DUMMYFUNCTION("""COMPUTED_VALUE"""),"DHERAJ AHUJA")</f>
        <v>DHERAJ AHUJA</v>
      </c>
      <c r="D553" s="15">
        <f ca="1">IFERROR(__xludf.DUMMYFUNCTION("""COMPUTED_VALUE"""),1890509066)</f>
        <v>1890509066</v>
      </c>
      <c r="E553" s="28">
        <f ca="1">IFERROR(__xludf.DUMMYFUNCTION("""COMPUTED_VALUE"""),46235)</f>
        <v>46235</v>
      </c>
      <c r="F553" s="15" t="str">
        <f ca="1">IFERROR(__xludf.DUMMYFUNCTION("""COMPUTED_VALUE"""),"Speed Post ParcelÂ Domestic")</f>
        <v>Speed Post ParcelÂ Domestic</v>
      </c>
      <c r="G553" s="15" t="str">
        <f ca="1">IFERROR(__xludf.DUMMYFUNCTION("""COMPUTED_VALUE"""),"B2C")</f>
        <v>B2C</v>
      </c>
      <c r="H553" s="15" t="str">
        <f ca="1">IFERROR(__xludf.DUMMYFUNCTION("""COMPUTED_VALUE"""),"Narendra Baviskar")</f>
        <v>Narendra Baviskar</v>
      </c>
    </row>
    <row r="554" spans="1:8">
      <c r="A554" s="15">
        <f ca="1">IFERROR(__xludf.DUMMYFUNCTION("""COMPUTED_VALUE"""),24)</f>
        <v>24</v>
      </c>
      <c r="B554" s="15" t="str">
        <f ca="1">IFERROR(__xludf.DUMMYFUNCTION("""COMPUTED_VALUE"""),"RMS ID Dn")</f>
        <v>RMS ID Dn</v>
      </c>
      <c r="C554" s="15" t="str">
        <f ca="1">IFERROR(__xludf.DUMMYFUNCTION("""COMPUTED_VALUE"""),"xcess infostore private limited")</f>
        <v>xcess infostore private limited</v>
      </c>
      <c r="D554" s="15">
        <f ca="1">IFERROR(__xludf.DUMMYFUNCTION("""COMPUTED_VALUE"""),1126700991)</f>
        <v>1126700991</v>
      </c>
      <c r="E554" s="28">
        <f ca="1">IFERROR(__xludf.DUMMYFUNCTION("""COMPUTED_VALUE"""),46237)</f>
        <v>46237</v>
      </c>
      <c r="F554" s="15" t="str">
        <f ca="1">IFERROR(__xludf.DUMMYFUNCTION("""COMPUTED_VALUE"""),"Indiapost Parcel Contractual")</f>
        <v>Indiapost Parcel Contractual</v>
      </c>
      <c r="G554" s="15" t="str">
        <f ca="1">IFERROR(__xludf.DUMMYFUNCTION("""COMPUTED_VALUE"""),"B2C")</f>
        <v>B2C</v>
      </c>
      <c r="H554" s="15" t="str">
        <f ca="1">IFERROR(__xludf.DUMMYFUNCTION("""COMPUTED_VALUE"""),"Narendra Baviskar")</f>
        <v>Narendra Baviskar</v>
      </c>
    </row>
    <row r="555" spans="1:8">
      <c r="A555" s="15">
        <f ca="1">IFERROR(__xludf.DUMMYFUNCTION("""COMPUTED_VALUE"""),25)</f>
        <v>25</v>
      </c>
      <c r="B555" s="15" t="str">
        <f ca="1">IFERROR(__xludf.DUMMYFUNCTION("""COMPUTED_VALUE"""),"RMS ID Dn")</f>
        <v>RMS ID Dn</v>
      </c>
      <c r="C555" s="15" t="str">
        <f ca="1">IFERROR(__xludf.DUMMYFUNCTION("""COMPUTED_VALUE"""),"PARTH COLECTION")</f>
        <v>PARTH COLECTION</v>
      </c>
      <c r="D555" s="15">
        <f ca="1">IFERROR(__xludf.DUMMYFUNCTION("""COMPUTED_VALUE"""),1401056217)</f>
        <v>1401056217</v>
      </c>
      <c r="E555" s="28">
        <f ca="1">IFERROR(__xludf.DUMMYFUNCTION("""COMPUTED_VALUE"""),46237)</f>
        <v>46237</v>
      </c>
      <c r="F555" s="15" t="str">
        <f ca="1">IFERROR(__xludf.DUMMYFUNCTION("""COMPUTED_VALUE"""),"Indiapost Parcel Contractual")</f>
        <v>Indiapost Parcel Contractual</v>
      </c>
      <c r="G555" s="15" t="str">
        <f ca="1">IFERROR(__xludf.DUMMYFUNCTION("""COMPUTED_VALUE"""),"B2C")</f>
        <v>B2C</v>
      </c>
      <c r="H555" s="15" t="str">
        <f ca="1">IFERROR(__xludf.DUMMYFUNCTION("""COMPUTED_VALUE"""),"Narendra Baviskar")</f>
        <v>Narendra Baviskar</v>
      </c>
    </row>
    <row r="556" spans="1:8">
      <c r="A556" s="15">
        <f ca="1">IFERROR(__xludf.DUMMYFUNCTION("""COMPUTED_VALUE"""),26)</f>
        <v>26</v>
      </c>
      <c r="B556" s="15" t="str">
        <f ca="1">IFERROR(__xludf.DUMMYFUNCTION("""COMPUTED_VALUE"""),"RMS ID Dn")</f>
        <v>RMS ID Dn</v>
      </c>
      <c r="C556" s="15" t="str">
        <f ca="1">IFERROR(__xludf.DUMMYFUNCTION("""COMPUTED_VALUE"""),"badshah tools centere")</f>
        <v>badshah tools centere</v>
      </c>
      <c r="D556" s="15">
        <f ca="1">IFERROR(__xludf.DUMMYFUNCTION("""COMPUTED_VALUE"""),1409373171)</f>
        <v>1409373171</v>
      </c>
      <c r="E556" s="28">
        <f ca="1">IFERROR(__xludf.DUMMYFUNCTION("""COMPUTED_VALUE"""),46237)</f>
        <v>46237</v>
      </c>
      <c r="F556" s="15" t="str">
        <f ca="1">IFERROR(__xludf.DUMMYFUNCTION("""COMPUTED_VALUE"""),"Indiapost Parcel Contractual")</f>
        <v>Indiapost Parcel Contractual</v>
      </c>
      <c r="G556" s="15" t="str">
        <f ca="1">IFERROR(__xludf.DUMMYFUNCTION("""COMPUTED_VALUE"""),"B2C")</f>
        <v>B2C</v>
      </c>
      <c r="H556" s="15" t="str">
        <f ca="1">IFERROR(__xludf.DUMMYFUNCTION("""COMPUTED_VALUE"""),"Narendra Baviskar")</f>
        <v>Narendra Baviskar</v>
      </c>
    </row>
    <row r="557" spans="1:8">
      <c r="A557" s="15">
        <f ca="1">IFERROR(__xludf.DUMMYFUNCTION("""COMPUTED_VALUE"""),27)</f>
        <v>27</v>
      </c>
      <c r="B557" s="15" t="str">
        <f ca="1">IFERROR(__xludf.DUMMYFUNCTION("""COMPUTED_VALUE"""),"RMS ID Dn")</f>
        <v>RMS ID Dn</v>
      </c>
      <c r="C557" s="15" t="str">
        <f ca="1">IFERROR(__xludf.DUMMYFUNCTION("""COMPUTED_VALUE"""),"saiyyad shiraj ali iron legends")</f>
        <v>saiyyad shiraj ali iron legends</v>
      </c>
      <c r="D557" s="15">
        <f ca="1">IFERROR(__xludf.DUMMYFUNCTION("""COMPUTED_VALUE"""),1724486782)</f>
        <v>1724486782</v>
      </c>
      <c r="E557" s="28">
        <f ca="1">IFERROR(__xludf.DUMMYFUNCTION("""COMPUTED_VALUE"""),46237)</f>
        <v>46237</v>
      </c>
      <c r="F557" s="15" t="str">
        <f ca="1">IFERROR(__xludf.DUMMYFUNCTION("""COMPUTED_VALUE"""),"Indiapost Parcel Contractual")</f>
        <v>Indiapost Parcel Contractual</v>
      </c>
      <c r="G557" s="15" t="str">
        <f ca="1">IFERROR(__xludf.DUMMYFUNCTION("""COMPUTED_VALUE"""),"B2C")</f>
        <v>B2C</v>
      </c>
      <c r="H557" s="15" t="str">
        <f ca="1">IFERROR(__xludf.DUMMYFUNCTION("""COMPUTED_VALUE"""),"Narendra Baviskar")</f>
        <v>Narendra Baviskar</v>
      </c>
    </row>
    <row r="558" spans="1:8">
      <c r="A558" s="15">
        <f ca="1">IFERROR(__xludf.DUMMYFUNCTION("""COMPUTED_VALUE"""),28)</f>
        <v>28</v>
      </c>
      <c r="B558" s="15" t="str">
        <f ca="1">IFERROR(__xludf.DUMMYFUNCTION("""COMPUTED_VALUE"""),"RMS ID Dn")</f>
        <v>RMS ID Dn</v>
      </c>
      <c r="C558" s="15" t="str">
        <f ca="1">IFERROR(__xludf.DUMMYFUNCTION("""COMPUTED_VALUE"""),"PRIYA KUMARI JAIN")</f>
        <v>PRIYA KUMARI JAIN</v>
      </c>
      <c r="D558" s="15">
        <f ca="1">IFERROR(__xludf.DUMMYFUNCTION("""COMPUTED_VALUE"""),1227122096)</f>
        <v>1227122096</v>
      </c>
      <c r="E558" s="28">
        <f ca="1">IFERROR(__xludf.DUMMYFUNCTION("""COMPUTED_VALUE"""),46242)</f>
        <v>46242</v>
      </c>
      <c r="F558" s="15" t="str">
        <f ca="1">IFERROR(__xludf.DUMMYFUNCTION("""COMPUTED_VALUE"""),"Speed Post")</f>
        <v>Speed Post</v>
      </c>
      <c r="G558" s="15" t="str">
        <f ca="1">IFERROR(__xludf.DUMMYFUNCTION("""COMPUTED_VALUE"""),"B2C")</f>
        <v>B2C</v>
      </c>
      <c r="H558" s="15" t="str">
        <f ca="1">IFERROR(__xludf.DUMMYFUNCTION("""COMPUTED_VALUE"""),"Narendra Baviskar")</f>
        <v>Narendra Baviskar</v>
      </c>
    </row>
    <row r="559" spans="1:8">
      <c r="A559" s="15">
        <f ca="1">IFERROR(__xludf.DUMMYFUNCTION("""COMPUTED_VALUE"""),29)</f>
        <v>29</v>
      </c>
      <c r="B559" s="15" t="str">
        <f ca="1">IFERROR(__xludf.DUMMYFUNCTION("""COMPUTED_VALUE"""),"RMS ID Dn")</f>
        <v>RMS ID Dn</v>
      </c>
      <c r="C559" s="15" t="str">
        <f ca="1">IFERROR(__xludf.DUMMYFUNCTION("""COMPUTED_VALUE"""),"Darzibabu")</f>
        <v>Darzibabu</v>
      </c>
      <c r="D559" s="15">
        <f ca="1">IFERROR(__xludf.DUMMYFUNCTION("""COMPUTED_VALUE"""),1380032731)</f>
        <v>1380032731</v>
      </c>
      <c r="E559" s="28">
        <f ca="1">IFERROR(__xludf.DUMMYFUNCTION("""COMPUTED_VALUE"""),46244)</f>
        <v>46244</v>
      </c>
      <c r="F559" s="15" t="str">
        <f ca="1">IFERROR(__xludf.DUMMYFUNCTION("""COMPUTED_VALUE"""),"Indiapost Parcel Contractual")</f>
        <v>Indiapost Parcel Contractual</v>
      </c>
      <c r="G559" s="15" t="str">
        <f ca="1">IFERROR(__xludf.DUMMYFUNCTION("""COMPUTED_VALUE"""),"B2C")</f>
        <v>B2C</v>
      </c>
      <c r="H559" s="15" t="str">
        <f ca="1">IFERROR(__xludf.DUMMYFUNCTION("""COMPUTED_VALUE"""),"Narendra Baviskar")</f>
        <v>Narendra Baviskar</v>
      </c>
    </row>
    <row r="560" spans="1:8">
      <c r="A560" s="15">
        <f ca="1">IFERROR(__xludf.DUMMYFUNCTION("""COMPUTED_VALUE"""),30)</f>
        <v>30</v>
      </c>
      <c r="B560" s="15" t="str">
        <f ca="1">IFERROR(__xludf.DUMMYFUNCTION("""COMPUTED_VALUE"""),"RMS ID Dn")</f>
        <v>RMS ID Dn</v>
      </c>
      <c r="C560" s="15" t="str">
        <f ca="1">IFERROR(__xludf.DUMMYFUNCTION("""COMPUTED_VALUE"""),"BUSHRA ANJUM")</f>
        <v>BUSHRA ANJUM</v>
      </c>
      <c r="D560" s="15">
        <f ca="1">IFERROR(__xludf.DUMMYFUNCTION("""COMPUTED_VALUE"""),1816851338)</f>
        <v>1816851338</v>
      </c>
      <c r="E560" s="28">
        <f ca="1">IFERROR(__xludf.DUMMYFUNCTION("""COMPUTED_VALUE"""),46244)</f>
        <v>46244</v>
      </c>
      <c r="F560" s="15" t="str">
        <f ca="1">IFERROR(__xludf.DUMMYFUNCTION("""COMPUTED_VALUE"""),"Indiapost Parcel Contractual")</f>
        <v>Indiapost Parcel Contractual</v>
      </c>
      <c r="G560" s="15" t="str">
        <f ca="1">IFERROR(__xludf.DUMMYFUNCTION("""COMPUTED_VALUE"""),"B2C")</f>
        <v>B2C</v>
      </c>
      <c r="H560" s="15" t="str">
        <f ca="1">IFERROR(__xludf.DUMMYFUNCTION("""COMPUTED_VALUE"""),"Narendra Baviskar")</f>
        <v>Narendra Baviskar</v>
      </c>
    </row>
    <row r="561" spans="1:8">
      <c r="A561" s="15">
        <f ca="1">IFERROR(__xludf.DUMMYFUNCTION("""COMPUTED_VALUE"""),31)</f>
        <v>31</v>
      </c>
      <c r="B561" s="15" t="str">
        <f ca="1">IFERROR(__xludf.DUMMYFUNCTION("""COMPUTED_VALUE"""),"RMS ID Dn")</f>
        <v>RMS ID Dn</v>
      </c>
      <c r="C561" s="15" t="str">
        <f ca="1">IFERROR(__xludf.DUMMYFUNCTION("""COMPUTED_VALUE"""),"PARIDHI VATNANI")</f>
        <v>PARIDHI VATNANI</v>
      </c>
      <c r="D561" s="15">
        <f ca="1">IFERROR(__xludf.DUMMYFUNCTION("""COMPUTED_VALUE"""),1744886086)</f>
        <v>1744886086</v>
      </c>
      <c r="E561" s="28">
        <f ca="1">IFERROR(__xludf.DUMMYFUNCTION("""COMPUTED_VALUE"""),46245)</f>
        <v>46245</v>
      </c>
      <c r="F561" s="15" t="str">
        <f ca="1">IFERROR(__xludf.DUMMYFUNCTION("""COMPUTED_VALUE"""),"Speed Post")</f>
        <v>Speed Post</v>
      </c>
      <c r="G561" s="15" t="str">
        <f ca="1">IFERROR(__xludf.DUMMYFUNCTION("""COMPUTED_VALUE"""),"B2C")</f>
        <v>B2C</v>
      </c>
      <c r="H561" s="15" t="str">
        <f ca="1">IFERROR(__xludf.DUMMYFUNCTION("""COMPUTED_VALUE"""),"Narendra Baviskar")</f>
        <v>Narendra Baviskar</v>
      </c>
    </row>
    <row r="562" spans="1:8">
      <c r="A562" s="15">
        <f ca="1">IFERROR(__xludf.DUMMYFUNCTION("""COMPUTED_VALUE"""),32)</f>
        <v>32</v>
      </c>
      <c r="B562" s="15" t="str">
        <f ca="1">IFERROR(__xludf.DUMMYFUNCTION("""COMPUTED_VALUE"""),"RMS ID Dn")</f>
        <v>RMS ID Dn</v>
      </c>
      <c r="C562" s="15" t="str">
        <f ca="1">IFERROR(__xludf.DUMMYFUNCTION("""COMPUTED_VALUE"""),"HOB STORES INDIA PRIVATE LIMITED")</f>
        <v>HOB STORES INDIA PRIVATE LIMITED</v>
      </c>
      <c r="D562" s="15">
        <f ca="1">IFERROR(__xludf.DUMMYFUNCTION("""COMPUTED_VALUE"""),1418224578)</f>
        <v>1418224578</v>
      </c>
      <c r="E562" s="28">
        <f ca="1">IFERROR(__xludf.DUMMYFUNCTION("""COMPUTED_VALUE"""),46246)</f>
        <v>46246</v>
      </c>
      <c r="F562" s="15" t="str">
        <f ca="1">IFERROR(__xludf.DUMMYFUNCTION("""COMPUTED_VALUE"""),"Indiapost Parcel Contractual")</f>
        <v>Indiapost Parcel Contractual</v>
      </c>
      <c r="G562" s="15" t="str">
        <f ca="1">IFERROR(__xludf.DUMMYFUNCTION("""COMPUTED_VALUE"""),"B2C")</f>
        <v>B2C</v>
      </c>
      <c r="H562" s="15" t="str">
        <f ca="1">IFERROR(__xludf.DUMMYFUNCTION("""COMPUTED_VALUE"""),"Narendra Baviskar")</f>
        <v>Narendra Baviskar</v>
      </c>
    </row>
    <row r="563" spans="1:8">
      <c r="A563" s="15">
        <f ca="1">IFERROR(__xludf.DUMMYFUNCTION("""COMPUTED_VALUE"""),33)</f>
        <v>33</v>
      </c>
      <c r="B563" s="15" t="str">
        <f ca="1">IFERROR(__xludf.DUMMYFUNCTION("""COMPUTED_VALUE"""),"RMS ID Dn")</f>
        <v>RMS ID Dn</v>
      </c>
      <c r="C563" s="15" t="str">
        <f ca="1">IFERROR(__xludf.DUMMYFUNCTION("""COMPUTED_VALUE"""),"ATUL K GARG")</f>
        <v>ATUL K GARG</v>
      </c>
      <c r="D563" s="15">
        <f ca="1">IFERROR(__xludf.DUMMYFUNCTION("""COMPUTED_VALUE"""),1615814979)</f>
        <v>1615814979</v>
      </c>
      <c r="E563" s="28">
        <f ca="1">IFERROR(__xludf.DUMMYFUNCTION("""COMPUTED_VALUE"""),46251)</f>
        <v>46251</v>
      </c>
      <c r="F563" s="15" t="str">
        <f ca="1">IFERROR(__xludf.DUMMYFUNCTION("""COMPUTED_VALUE"""),"Indiapost Parcel Contractual")</f>
        <v>Indiapost Parcel Contractual</v>
      </c>
      <c r="G563" s="15" t="str">
        <f ca="1">IFERROR(__xludf.DUMMYFUNCTION("""COMPUTED_VALUE"""),"B2C")</f>
        <v>B2C</v>
      </c>
      <c r="H563" s="15" t="str">
        <f ca="1">IFERROR(__xludf.DUMMYFUNCTION("""COMPUTED_VALUE"""),"Narendra Baviskar")</f>
        <v>Narendra Baviskar</v>
      </c>
    </row>
    <row r="564" spans="1:8">
      <c r="A564" s="15">
        <f ca="1">IFERROR(__xludf.DUMMYFUNCTION("""COMPUTED_VALUE"""),34)</f>
        <v>34</v>
      </c>
      <c r="B564" s="15" t="str">
        <f ca="1">IFERROR(__xludf.DUMMYFUNCTION("""COMPUTED_VALUE"""),"RMS ID Dn")</f>
        <v>RMS ID Dn</v>
      </c>
      <c r="C564" s="15" t="str">
        <f ca="1">IFERROR(__xludf.DUMMYFUNCTION("""COMPUTED_VALUE"""),"AISH BY AISHWARYA")</f>
        <v>AISH BY AISHWARYA</v>
      </c>
      <c r="D564" s="15">
        <f ca="1">IFERROR(__xludf.DUMMYFUNCTION("""COMPUTED_VALUE"""),1174347235)</f>
        <v>1174347235</v>
      </c>
      <c r="E564" s="28">
        <f ca="1">IFERROR(__xludf.DUMMYFUNCTION("""COMPUTED_VALUE"""),46253)</f>
        <v>46253</v>
      </c>
      <c r="F564" s="15" t="str">
        <f ca="1">IFERROR(__xludf.DUMMYFUNCTION("""COMPUTED_VALUE"""),"Indiapost Parcel Contractual")</f>
        <v>Indiapost Parcel Contractual</v>
      </c>
      <c r="G564" s="15" t="str">
        <f ca="1">IFERROR(__xludf.DUMMYFUNCTION("""COMPUTED_VALUE"""),"B2C")</f>
        <v>B2C</v>
      </c>
      <c r="H564" s="15" t="str">
        <f ca="1">IFERROR(__xludf.DUMMYFUNCTION("""COMPUTED_VALUE"""),"Narendra Baviskar")</f>
        <v>Narendra Baviskar</v>
      </c>
    </row>
    <row r="565" spans="1:8">
      <c r="A565" s="15">
        <f ca="1">IFERROR(__xludf.DUMMYFUNCTION("""COMPUTED_VALUE"""),35)</f>
        <v>35</v>
      </c>
      <c r="B565" s="15" t="str">
        <f ca="1">IFERROR(__xludf.DUMMYFUNCTION("""COMPUTED_VALUE"""),"RMS ID Dn")</f>
        <v>RMS ID Dn</v>
      </c>
      <c r="C565" s="15" t="str">
        <f ca="1">IFERROR(__xludf.DUMMYFUNCTION("""COMPUTED_VALUE"""),"FAST AND RIGHT MINI")</f>
        <v>FAST AND RIGHT MINI</v>
      </c>
      <c r="D565" s="15">
        <f ca="1">IFERROR(__xludf.DUMMYFUNCTION("""COMPUTED_VALUE"""),1234675395)</f>
        <v>1234675395</v>
      </c>
      <c r="E565" s="28">
        <f ca="1">IFERROR(__xludf.DUMMYFUNCTION("""COMPUTED_VALUE"""),46253)</f>
        <v>46253</v>
      </c>
      <c r="F565" s="15" t="str">
        <f ca="1">IFERROR(__xludf.DUMMYFUNCTION("""COMPUTED_VALUE"""),"Speed Post")</f>
        <v>Speed Post</v>
      </c>
      <c r="G565" s="15" t="str">
        <f ca="1">IFERROR(__xludf.DUMMYFUNCTION("""COMPUTED_VALUE"""),"B2C")</f>
        <v>B2C</v>
      </c>
      <c r="H565" s="15" t="str">
        <f ca="1">IFERROR(__xludf.DUMMYFUNCTION("""COMPUTED_VALUE"""),"Narendra Baviskar")</f>
        <v>Narendra Baviskar</v>
      </c>
    </row>
    <row r="566" spans="1:8">
      <c r="A566" s="15">
        <f ca="1">IFERROR(__xludf.DUMMYFUNCTION("""COMPUTED_VALUE"""),36)</f>
        <v>36</v>
      </c>
      <c r="B566" s="15" t="str">
        <f ca="1">IFERROR(__xludf.DUMMYFUNCTION("""COMPUTED_VALUE"""),"RMS ID Dn")</f>
        <v>RMS ID Dn</v>
      </c>
      <c r="C566" s="15" t="str">
        <f ca="1">IFERROR(__xludf.DUMMYFUNCTION("""COMPUTED_VALUE"""),"INDO SCAN")</f>
        <v>INDO SCAN</v>
      </c>
      <c r="D566" s="15">
        <f ca="1">IFERROR(__xludf.DUMMYFUNCTION("""COMPUTED_VALUE"""),1304684078)</f>
        <v>1304684078</v>
      </c>
      <c r="E566" s="28">
        <f ca="1">IFERROR(__xludf.DUMMYFUNCTION("""COMPUTED_VALUE"""),46254)</f>
        <v>46254</v>
      </c>
      <c r="F566" s="15" t="str">
        <f ca="1">IFERROR(__xludf.DUMMYFUNCTION("""COMPUTED_VALUE"""),"Speed Post")</f>
        <v>Speed Post</v>
      </c>
      <c r="G566" s="15" t="str">
        <f ca="1">IFERROR(__xludf.DUMMYFUNCTION("""COMPUTED_VALUE"""),"B2C")</f>
        <v>B2C</v>
      </c>
      <c r="H566" s="15" t="str">
        <f ca="1">IFERROR(__xludf.DUMMYFUNCTION("""COMPUTED_VALUE"""),"Narendra Baviskar")</f>
        <v>Narendra Baviskar</v>
      </c>
    </row>
    <row r="567" spans="1:8">
      <c r="A567" s="15">
        <f ca="1">IFERROR(__xludf.DUMMYFUNCTION("""COMPUTED_VALUE"""),37)</f>
        <v>37</v>
      </c>
      <c r="B567" s="15" t="str">
        <f ca="1">IFERROR(__xludf.DUMMYFUNCTION("""COMPUTED_VALUE"""),"RMS ID Dn")</f>
        <v>RMS ID Dn</v>
      </c>
      <c r="C567" s="15" t="str">
        <f ca="1">IFERROR(__xludf.DUMMYFUNCTION("""COMPUTED_VALUE"""),"veena masik patrika")</f>
        <v>veena masik patrika</v>
      </c>
      <c r="D567" s="15">
        <f ca="1">IFERROR(__xludf.DUMMYFUNCTION("""COMPUTED_VALUE"""),1173948967)</f>
        <v>1173948967</v>
      </c>
      <c r="E567" s="28">
        <f ca="1">IFERROR(__xludf.DUMMYFUNCTION("""COMPUTED_VALUE"""),46259)</f>
        <v>46259</v>
      </c>
      <c r="F567" s="15" t="str">
        <f ca="1">IFERROR(__xludf.DUMMYFUNCTION("""COMPUTED_VALUE"""),"Magazine Post")</f>
        <v>Magazine Post</v>
      </c>
      <c r="G567" s="15" t="str">
        <f ca="1">IFERROR(__xludf.DUMMYFUNCTION("""COMPUTED_VALUE"""),"B2C")</f>
        <v>B2C</v>
      </c>
      <c r="H567" s="15" t="str">
        <f ca="1">IFERROR(__xludf.DUMMYFUNCTION("""COMPUTED_VALUE"""),"Narendra Baviskar")</f>
        <v>Narendra Baviskar</v>
      </c>
    </row>
    <row r="568" spans="1:8">
      <c r="A568" s="15">
        <f ca="1">IFERROR(__xludf.DUMMYFUNCTION("""COMPUTED_VALUE"""),38)</f>
        <v>38</v>
      </c>
      <c r="B568" s="15" t="str">
        <f ca="1">IFERROR(__xludf.DUMMYFUNCTION("""COMPUTED_VALUE"""),"RMS ID Dn")</f>
        <v>RMS ID Dn</v>
      </c>
      <c r="C568" s="15" t="str">
        <f ca="1">IFERROR(__xludf.DUMMYFUNCTION("""COMPUTED_VALUE"""),"sorabh ramteke")</f>
        <v>sorabh ramteke</v>
      </c>
      <c r="D568" s="15">
        <f ca="1">IFERROR(__xludf.DUMMYFUNCTION("""COMPUTED_VALUE"""),1339181664)</f>
        <v>1339181664</v>
      </c>
      <c r="E568" s="28">
        <f ca="1">IFERROR(__xludf.DUMMYFUNCTION("""COMPUTED_VALUE"""),46262)</f>
        <v>46262</v>
      </c>
      <c r="F568" s="15" t="str">
        <f ca="1">IFERROR(__xludf.DUMMYFUNCTION("""COMPUTED_VALUE"""),"Speed Post")</f>
        <v>Speed Post</v>
      </c>
      <c r="G568" s="15" t="str">
        <f ca="1">IFERROR(__xludf.DUMMYFUNCTION("""COMPUTED_VALUE"""),"B2C")</f>
        <v>B2C</v>
      </c>
      <c r="H568" s="15" t="str">
        <f ca="1">IFERROR(__xludf.DUMMYFUNCTION("""COMPUTED_VALUE"""),"Narendra Baviskar")</f>
        <v>Narendra Baviskar</v>
      </c>
    </row>
    <row r="569" spans="1:8">
      <c r="A569" s="15">
        <f ca="1">IFERROR(__xludf.DUMMYFUNCTION("""COMPUTED_VALUE"""),39)</f>
        <v>39</v>
      </c>
      <c r="B569" s="15" t="str">
        <f ca="1">IFERROR(__xludf.DUMMYFUNCTION("""COMPUTED_VALUE"""),"RMS ID Dn")</f>
        <v>RMS ID Dn</v>
      </c>
      <c r="C569" s="15" t="str">
        <f ca="1">IFERROR(__xludf.DUMMYFUNCTION("""COMPUTED_VALUE"""),"DEVIYAANA ETHNICS")</f>
        <v>DEVIYAANA ETHNICS</v>
      </c>
      <c r="D569" s="15">
        <f ca="1">IFERROR(__xludf.DUMMYFUNCTION("""COMPUTED_VALUE"""),1115853922)</f>
        <v>1115853922</v>
      </c>
      <c r="E569" s="28">
        <f ca="1">IFERROR(__xludf.DUMMYFUNCTION("""COMPUTED_VALUE"""),46265)</f>
        <v>46265</v>
      </c>
      <c r="F569" s="15" t="str">
        <f ca="1">IFERROR(__xludf.DUMMYFUNCTION("""COMPUTED_VALUE"""),"Indiapost Parcel Contractual")</f>
        <v>Indiapost Parcel Contractual</v>
      </c>
      <c r="G569" s="15" t="str">
        <f ca="1">IFERROR(__xludf.DUMMYFUNCTION("""COMPUTED_VALUE"""),"B2C")</f>
        <v>B2C</v>
      </c>
      <c r="H569" s="15" t="str">
        <f ca="1">IFERROR(__xludf.DUMMYFUNCTION("""COMPUTED_VALUE"""),"Narendra Baviskar")</f>
        <v>Narendra Baviskar</v>
      </c>
    </row>
    <row r="570" spans="1:8">
      <c r="A570" s="15">
        <f ca="1">IFERROR(__xludf.DUMMYFUNCTION("""COMPUTED_VALUE"""),40)</f>
        <v>40</v>
      </c>
      <c r="B570" s="15" t="str">
        <f ca="1">IFERROR(__xludf.DUMMYFUNCTION("""COMPUTED_VALUE"""),"RMS ID Dn")</f>
        <v>RMS ID Dn</v>
      </c>
      <c r="C570" s="15" t="str">
        <f ca="1">IFERROR(__xludf.DUMMYFUNCTION("""COMPUTED_VALUE"""),"AAKASH TREDARS")</f>
        <v>AAKASH TREDARS</v>
      </c>
      <c r="D570" s="15">
        <f ca="1">IFERROR(__xludf.DUMMYFUNCTION("""COMPUTED_VALUE"""),1827455456)</f>
        <v>1827455456</v>
      </c>
      <c r="E570" s="28">
        <f ca="1">IFERROR(__xludf.DUMMYFUNCTION("""COMPUTED_VALUE"""),46265)</f>
        <v>46265</v>
      </c>
      <c r="F570" s="15" t="str">
        <f ca="1">IFERROR(__xludf.DUMMYFUNCTION("""COMPUTED_VALUE"""),"Indiapost Parcel Contractual")</f>
        <v>Indiapost Parcel Contractual</v>
      </c>
      <c r="G570" s="15" t="str">
        <f ca="1">IFERROR(__xludf.DUMMYFUNCTION("""COMPUTED_VALUE"""),"B2C")</f>
        <v>B2C</v>
      </c>
      <c r="H570" s="15" t="str">
        <f ca="1">IFERROR(__xludf.DUMMYFUNCTION("""COMPUTED_VALUE"""),"Narendra Baviskar")</f>
        <v>Narendra Baviskar</v>
      </c>
    </row>
    <row r="571" spans="1:8">
      <c r="A571" s="15">
        <f ca="1">IFERROR(__xludf.DUMMYFUNCTION("""COMPUTED_VALUE"""),41)</f>
        <v>41</v>
      </c>
      <c r="B571" s="15" t="str">
        <f ca="1">IFERROR(__xludf.DUMMYFUNCTION("""COMPUTED_VALUE"""),"RMS ID Dn")</f>
        <v>RMS ID Dn</v>
      </c>
      <c r="C571" s="15" t="str">
        <f ca="1">IFERROR(__xludf.DUMMYFUNCTION("""COMPUTED_VALUE"""),"KANKAMAL SANGHVI PARMARTHIK TRUST")</f>
        <v>KANKAMAL SANGHVI PARMARTHIK TRUST</v>
      </c>
      <c r="D571" s="15">
        <f ca="1">IFERROR(__xludf.DUMMYFUNCTION("""COMPUTED_VALUE"""),1868160470)</f>
        <v>1868160470</v>
      </c>
      <c r="E571" s="28"/>
      <c r="F571" s="15" t="str">
        <f ca="1">IFERROR(__xludf.DUMMYFUNCTION("""COMPUTED_VALUE"""),"Indiapost Parcel Contractual")</f>
        <v>Indiapost Parcel Contractual</v>
      </c>
      <c r="G571" s="15" t="str">
        <f ca="1">IFERROR(__xludf.DUMMYFUNCTION("""COMPUTED_VALUE"""),"B2C")</f>
        <v>B2C</v>
      </c>
      <c r="H571" s="15" t="str">
        <f ca="1">IFERROR(__xludf.DUMMYFUNCTION("""COMPUTED_VALUE"""),"Narendra Baviskar")</f>
        <v>Narendra Baviskar</v>
      </c>
    </row>
    <row r="572" spans="1:8">
      <c r="A572" s="15">
        <f ca="1">IFERROR(__xludf.DUMMYFUNCTION("""COMPUTED_VALUE"""),42)</f>
        <v>42</v>
      </c>
      <c r="B572" s="15" t="str">
        <f ca="1">IFERROR(__xludf.DUMMYFUNCTION("""COMPUTED_VALUE"""),"RMS ID Dn")</f>
        <v>RMS ID Dn</v>
      </c>
      <c r="C572" s="15" t="str">
        <f ca="1">IFERROR(__xludf.DUMMYFUNCTION("""COMPUTED_VALUE"""),"THE ACADEMICIAN")</f>
        <v>THE ACADEMICIAN</v>
      </c>
      <c r="D572" s="15">
        <f ca="1">IFERROR(__xludf.DUMMYFUNCTION("""COMPUTED_VALUE"""),1480067875)</f>
        <v>1480067875</v>
      </c>
      <c r="E572" s="28"/>
      <c r="F572" s="15" t="str">
        <f ca="1">IFERROR(__xludf.DUMMYFUNCTION("""COMPUTED_VALUE"""),"Magazine Post")</f>
        <v>Magazine Post</v>
      </c>
      <c r="G572" s="15" t="str">
        <f ca="1">IFERROR(__xludf.DUMMYFUNCTION("""COMPUTED_VALUE"""),"B2C")</f>
        <v>B2C</v>
      </c>
      <c r="H572" s="15" t="str">
        <f ca="1">IFERROR(__xludf.DUMMYFUNCTION("""COMPUTED_VALUE"""),"Narendra Baviskar")</f>
        <v>Narendra Baviskar</v>
      </c>
    </row>
    <row r="573" spans="1:8">
      <c r="A573" s="15">
        <f ca="1">IFERROR(__xludf.DUMMYFUNCTION("""COMPUTED_VALUE"""),43)</f>
        <v>43</v>
      </c>
      <c r="B573" s="15" t="str">
        <f ca="1">IFERROR(__xludf.DUMMYFUNCTION("""COMPUTED_VALUE"""),"RMS ID Dn")</f>
        <v>RMS ID Dn</v>
      </c>
      <c r="C573" s="15" t="str">
        <f ca="1">IFERROR(__xludf.DUMMYFUNCTION("""COMPUTED_VALUE"""),"FAKRUDDIN LUKMANI")</f>
        <v>FAKRUDDIN LUKMANI</v>
      </c>
      <c r="D573" s="15">
        <f ca="1">IFERROR(__xludf.DUMMYFUNCTION("""COMPUTED_VALUE"""),1967768859)</f>
        <v>1967768859</v>
      </c>
      <c r="E573" s="28"/>
      <c r="F573" s="15" t="str">
        <f ca="1">IFERROR(__xludf.DUMMYFUNCTION("""COMPUTED_VALUE"""),"Speed Post")</f>
        <v>Speed Post</v>
      </c>
      <c r="G573" s="15" t="str">
        <f ca="1">IFERROR(__xludf.DUMMYFUNCTION("""COMPUTED_VALUE"""),"B2C")</f>
        <v>B2C</v>
      </c>
      <c r="H573" s="15" t="str">
        <f ca="1">IFERROR(__xludf.DUMMYFUNCTION("""COMPUTED_VALUE"""),"Narendra Baviskar")</f>
        <v>Narendra Baviskar</v>
      </c>
    </row>
    <row r="574" spans="1:8">
      <c r="A574" s="15">
        <f ca="1">IFERROR(__xludf.DUMMYFUNCTION("""COMPUTED_VALUE"""),44)</f>
        <v>44</v>
      </c>
      <c r="B574" s="15" t="str">
        <f ca="1">IFERROR(__xludf.DUMMYFUNCTION("""COMPUTED_VALUE"""),"RMS ID Dn")</f>
        <v>RMS ID Dn</v>
      </c>
      <c r="C574" s="15" t="str">
        <f ca="1">IFERROR(__xludf.DUMMYFUNCTION("""COMPUTED_VALUE"""),"SHRI DIGAMBER JAIN YUVAK SANGH")</f>
        <v>SHRI DIGAMBER JAIN YUVAK SANGH</v>
      </c>
      <c r="D574" s="15">
        <f ca="1">IFERROR(__xludf.DUMMYFUNCTION("""COMPUTED_VALUE"""),1701347064)</f>
        <v>1701347064</v>
      </c>
      <c r="E574" s="28"/>
      <c r="F574" s="15" t="str">
        <f ca="1">IFERROR(__xludf.DUMMYFUNCTION("""COMPUTED_VALUE"""),"Indiapost Parcel Contractual")</f>
        <v>Indiapost Parcel Contractual</v>
      </c>
      <c r="G574" s="15" t="str">
        <f ca="1">IFERROR(__xludf.DUMMYFUNCTION("""COMPUTED_VALUE"""),"B2C")</f>
        <v>B2C</v>
      </c>
      <c r="H574" s="15" t="str">
        <f ca="1">IFERROR(__xludf.DUMMYFUNCTION("""COMPUTED_VALUE"""),"Narendra Baviskar")</f>
        <v>Narendra Baviskar</v>
      </c>
    </row>
    <row r="575" spans="1:8">
      <c r="A575" s="15">
        <f ca="1">IFERROR(__xludf.DUMMYFUNCTION("""COMPUTED_VALUE"""),45)</f>
        <v>45</v>
      </c>
      <c r="B575" s="15" t="str">
        <f ca="1">IFERROR(__xludf.DUMMYFUNCTION("""COMPUTED_VALUE"""),"RMS ID Dn")</f>
        <v>RMS ID Dn</v>
      </c>
      <c r="C575" s="15" t="str">
        <f ca="1">IFERROR(__xludf.DUMMYFUNCTION("""COMPUTED_VALUE"""),"GAMBHIR ENTERPRISES")</f>
        <v>GAMBHIR ENTERPRISES</v>
      </c>
      <c r="D575" s="15">
        <f ca="1">IFERROR(__xludf.DUMMYFUNCTION("""COMPUTED_VALUE"""),1803276809)</f>
        <v>1803276809</v>
      </c>
      <c r="E575" s="28"/>
      <c r="F575" s="15" t="str">
        <f ca="1">IFERROR(__xludf.DUMMYFUNCTION("""COMPUTED_VALUE"""),"Speed Post,Indiapost Parcel Contractual")</f>
        <v>Speed Post,Indiapost Parcel Contractual</v>
      </c>
      <c r="G575" s="15" t="str">
        <f ca="1">IFERROR(__xludf.DUMMYFUNCTION("""COMPUTED_VALUE"""),"B2C")</f>
        <v>B2C</v>
      </c>
      <c r="H575" s="15" t="str">
        <f ca="1">IFERROR(__xludf.DUMMYFUNCTION("""COMPUTED_VALUE"""),"Narendra Baviskar")</f>
        <v>Narendra Baviskar</v>
      </c>
    </row>
    <row r="576" spans="1:8">
      <c r="A576" s="15">
        <f ca="1">IFERROR(__xludf.DUMMYFUNCTION("""COMPUTED_VALUE"""),46)</f>
        <v>46</v>
      </c>
      <c r="B576" s="15" t="str">
        <f ca="1">IFERROR(__xludf.DUMMYFUNCTION("""COMPUTED_VALUE"""),"RMS ID Dn")</f>
        <v>RMS ID Dn</v>
      </c>
      <c r="C576" s="15" t="str">
        <f ca="1">IFERROR(__xludf.DUMMYFUNCTION("""COMPUTED_VALUE"""),"RUHI BANO W/O JAHID KHAN")</f>
        <v>RUHI BANO W/O JAHID KHAN</v>
      </c>
      <c r="D576" s="15">
        <f ca="1">IFERROR(__xludf.DUMMYFUNCTION("""COMPUTED_VALUE"""),1673674046)</f>
        <v>1673674046</v>
      </c>
      <c r="E576" s="28"/>
      <c r="F576" s="15" t="str">
        <f ca="1">IFERROR(__xludf.DUMMYFUNCTION("""COMPUTED_VALUE"""),"Indiapost Parcel Contractual")</f>
        <v>Indiapost Parcel Contractual</v>
      </c>
      <c r="G576" s="15" t="str">
        <f ca="1">IFERROR(__xludf.DUMMYFUNCTION("""COMPUTED_VALUE"""),"B2C")</f>
        <v>B2C</v>
      </c>
      <c r="H576" s="15" t="str">
        <f ca="1">IFERROR(__xludf.DUMMYFUNCTION("""COMPUTED_VALUE"""),"Narendra Baviskar")</f>
        <v>Narendra Baviskar</v>
      </c>
    </row>
    <row r="577" spans="1:8">
      <c r="A577" s="15">
        <f ca="1">IFERROR(__xludf.DUMMYFUNCTION("""COMPUTED_VALUE"""),47)</f>
        <v>47</v>
      </c>
      <c r="B577" s="15" t="str">
        <f ca="1">IFERROR(__xludf.DUMMYFUNCTION("""COMPUTED_VALUE"""),"RMS ID Dn")</f>
        <v>RMS ID Dn</v>
      </c>
      <c r="C577" s="15" t="str">
        <f ca="1">IFERROR(__xludf.DUMMYFUNCTION("""COMPUTED_VALUE"""),"JMD ENTERPRISES")</f>
        <v>JMD ENTERPRISES</v>
      </c>
      <c r="D577" s="15">
        <f ca="1">IFERROR(__xludf.DUMMYFUNCTION("""COMPUTED_VALUE"""),1255909570)</f>
        <v>1255909570</v>
      </c>
      <c r="E577" s="28"/>
      <c r="F577" s="15" t="str">
        <f ca="1">IFERROR(__xludf.DUMMYFUNCTION("""COMPUTED_VALUE"""),"Indiapost Parcel Contractual")</f>
        <v>Indiapost Parcel Contractual</v>
      </c>
      <c r="G577" s="15" t="str">
        <f ca="1">IFERROR(__xludf.DUMMYFUNCTION("""COMPUTED_VALUE"""),"B2C")</f>
        <v>B2C</v>
      </c>
      <c r="H577" s="15" t="str">
        <f ca="1">IFERROR(__xludf.DUMMYFUNCTION("""COMPUTED_VALUE"""),"Narendra Baviskar")</f>
        <v>Narendra Baviskar</v>
      </c>
    </row>
    <row r="578" spans="1:8">
      <c r="A578" s="15">
        <f ca="1">IFERROR(__xludf.DUMMYFUNCTION("""COMPUTED_VALUE"""),48)</f>
        <v>48</v>
      </c>
      <c r="B578" s="15" t="str">
        <f ca="1">IFERROR(__xludf.DUMMYFUNCTION("""COMPUTED_VALUE"""),"RMS ID Dn")</f>
        <v>RMS ID Dn</v>
      </c>
      <c r="C578" s="15" t="str">
        <f ca="1">IFERROR(__xludf.DUMMYFUNCTION("""COMPUTED_VALUE"""),"NEW ANMOL COSMETICS")</f>
        <v>NEW ANMOL COSMETICS</v>
      </c>
      <c r="D578" s="15">
        <f ca="1">IFERROR(__xludf.DUMMYFUNCTION("""COMPUTED_VALUE"""),1279430186)</f>
        <v>1279430186</v>
      </c>
      <c r="E578" s="28"/>
      <c r="F578" s="15" t="str">
        <f ca="1">IFERROR(__xludf.DUMMYFUNCTION("""COMPUTED_VALUE"""),"Indiapost Parcel Contractual")</f>
        <v>Indiapost Parcel Contractual</v>
      </c>
      <c r="G578" s="15" t="str">
        <f ca="1">IFERROR(__xludf.DUMMYFUNCTION("""COMPUTED_VALUE"""),"B2C")</f>
        <v>B2C</v>
      </c>
      <c r="H578" s="15" t="str">
        <f ca="1">IFERROR(__xludf.DUMMYFUNCTION("""COMPUTED_VALUE"""),"Narendra Baviskar")</f>
        <v>Narendra Baviskar</v>
      </c>
    </row>
    <row r="579" spans="1:8">
      <c r="A579" s="15">
        <f ca="1">IFERROR(__xludf.DUMMYFUNCTION("""COMPUTED_VALUE"""),49)</f>
        <v>49</v>
      </c>
      <c r="B579" s="15" t="str">
        <f ca="1">IFERROR(__xludf.DUMMYFUNCTION("""COMPUTED_VALUE"""),"RMS ID Dn")</f>
        <v>RMS ID Dn</v>
      </c>
      <c r="C579" s="15" t="str">
        <f ca="1">IFERROR(__xludf.DUMMYFUNCTION("""COMPUTED_VALUE"""),"BIYANI INDUSTRIAL TEXTILES PVT .LTD")</f>
        <v>BIYANI INDUSTRIAL TEXTILES PVT .LTD</v>
      </c>
      <c r="D579" s="15">
        <f ca="1">IFERROR(__xludf.DUMMYFUNCTION("""COMPUTED_VALUE"""),1683888422)</f>
        <v>1683888422</v>
      </c>
      <c r="E579" s="28"/>
      <c r="F579" s="15" t="str">
        <f ca="1">IFERROR(__xludf.DUMMYFUNCTION("""COMPUTED_VALUE"""),"Speed Post")</f>
        <v>Speed Post</v>
      </c>
      <c r="G579" s="15" t="str">
        <f ca="1">IFERROR(__xludf.DUMMYFUNCTION("""COMPUTED_VALUE"""),"B2C")</f>
        <v>B2C</v>
      </c>
      <c r="H579" s="15" t="str">
        <f ca="1">IFERROR(__xludf.DUMMYFUNCTION("""COMPUTED_VALUE"""),"Narendra Baviskar")</f>
        <v>Narendra Baviskar</v>
      </c>
    </row>
    <row r="580" spans="1:8">
      <c r="A580" s="15">
        <f ca="1">IFERROR(__xludf.DUMMYFUNCTION("""COMPUTED_VALUE"""),50)</f>
        <v>50</v>
      </c>
      <c r="B580" s="15" t="str">
        <f ca="1">IFERROR(__xludf.DUMMYFUNCTION("""COMPUTED_VALUE"""),"RMS ID Dn")</f>
        <v>RMS ID Dn</v>
      </c>
      <c r="C580" s="15" t="str">
        <f ca="1">IFERROR(__xludf.DUMMYFUNCTION("""COMPUTED_VALUE"""),"ORIGIN EXPRESS SERVICES")</f>
        <v>ORIGIN EXPRESS SERVICES</v>
      </c>
      <c r="D580" s="15">
        <f ca="1">IFERROR(__xludf.DUMMYFUNCTION("""COMPUTED_VALUE"""),1296899413)</f>
        <v>1296899413</v>
      </c>
      <c r="E580" s="28"/>
      <c r="F580" s="15" t="str">
        <f ca="1">IFERROR(__xludf.DUMMYFUNCTION("""COMPUTED_VALUE"""),"Speed Post")</f>
        <v>Speed Post</v>
      </c>
      <c r="G580" s="15" t="str">
        <f ca="1">IFERROR(__xludf.DUMMYFUNCTION("""COMPUTED_VALUE"""),"B2C")</f>
        <v>B2C</v>
      </c>
      <c r="H580" s="15" t="str">
        <f ca="1">IFERROR(__xludf.DUMMYFUNCTION("""COMPUTED_VALUE"""),"Narendra Baviskar")</f>
        <v>Narendra Baviskar</v>
      </c>
    </row>
    <row r="581" spans="1:8">
      <c r="A581" s="15">
        <f ca="1">IFERROR(__xludf.DUMMYFUNCTION("""COMPUTED_VALUE"""),51)</f>
        <v>51</v>
      </c>
      <c r="B581" s="15" t="str">
        <f ca="1">IFERROR(__xludf.DUMMYFUNCTION("""COMPUTED_VALUE"""),"RMS ID Dn")</f>
        <v>RMS ID Dn</v>
      </c>
      <c r="C581" s="15" t="str">
        <f ca="1">IFERROR(__xludf.DUMMYFUNCTION("""COMPUTED_VALUE"""),"D B M S &amp; Co")</f>
        <v>D B M S &amp; Co</v>
      </c>
      <c r="D581" s="15">
        <f ca="1">IFERROR(__xludf.DUMMYFUNCTION("""COMPUTED_VALUE"""),1625383718)</f>
        <v>1625383718</v>
      </c>
      <c r="E581" s="28"/>
      <c r="F581" s="15" t="str">
        <f ca="1">IFERROR(__xludf.DUMMYFUNCTION("""COMPUTED_VALUE"""),"Speed Post")</f>
        <v>Speed Post</v>
      </c>
      <c r="G581" s="15" t="str">
        <f ca="1">IFERROR(__xludf.DUMMYFUNCTION("""COMPUTED_VALUE"""),"B2C")</f>
        <v>B2C</v>
      </c>
      <c r="H581" s="15" t="str">
        <f ca="1">IFERROR(__xludf.DUMMYFUNCTION("""COMPUTED_VALUE"""),"Narendra Baviskar")</f>
        <v>Narendra Baviskar</v>
      </c>
    </row>
    <row r="582" spans="1:8">
      <c r="A582" s="15">
        <f ca="1">IFERROR(__xludf.DUMMYFUNCTION("""COMPUTED_VALUE"""),52)</f>
        <v>52</v>
      </c>
      <c r="B582" s="15" t="str">
        <f ca="1">IFERROR(__xludf.DUMMYFUNCTION("""COMPUTED_VALUE"""),"RMS ID Dn")</f>
        <v>RMS ID Dn</v>
      </c>
      <c r="C582" s="15" t="str">
        <f ca="1">IFERROR(__xludf.DUMMYFUNCTION("""COMPUTED_VALUE"""),"M/S 3G AQUA WATER TREATMENT TECHNOLOGY")</f>
        <v>M/S 3G AQUA WATER TREATMENT TECHNOLOGY</v>
      </c>
      <c r="D582" s="15">
        <f ca="1">IFERROR(__xludf.DUMMYFUNCTION("""COMPUTED_VALUE"""),1961703594)</f>
        <v>1961703594</v>
      </c>
      <c r="E582" s="28"/>
      <c r="F582" s="15" t="str">
        <f ca="1">IFERROR(__xludf.DUMMYFUNCTION("""COMPUTED_VALUE"""),"Speed Post")</f>
        <v>Speed Post</v>
      </c>
      <c r="G582" s="15" t="str">
        <f ca="1">IFERROR(__xludf.DUMMYFUNCTION("""COMPUTED_VALUE"""),"B2C")</f>
        <v>B2C</v>
      </c>
      <c r="H582" s="15" t="str">
        <f ca="1">IFERROR(__xludf.DUMMYFUNCTION("""COMPUTED_VALUE"""),"Narendra Baviskar")</f>
        <v>Narendra Baviskar</v>
      </c>
    </row>
    <row r="583" spans="1:8">
      <c r="A583" s="15">
        <f ca="1">IFERROR(__xludf.DUMMYFUNCTION("""COMPUTED_VALUE"""),53)</f>
        <v>53</v>
      </c>
      <c r="B583" s="15" t="str">
        <f ca="1">IFERROR(__xludf.DUMMYFUNCTION("""COMPUTED_VALUE"""),"RMS ID Dn")</f>
        <v>RMS ID Dn</v>
      </c>
      <c r="C583" s="15" t="str">
        <f ca="1">IFERROR(__xludf.DUMMYFUNCTION("""COMPUTED_VALUE"""),"SKASHI JETHANI")</f>
        <v>SKASHI JETHANI</v>
      </c>
      <c r="D583" s="15">
        <f ca="1">IFERROR(__xludf.DUMMYFUNCTION("""COMPUTED_VALUE"""),1561115828)</f>
        <v>1561115828</v>
      </c>
      <c r="E583" s="28"/>
      <c r="F583" s="15" t="str">
        <f ca="1">IFERROR(__xludf.DUMMYFUNCTION("""COMPUTED_VALUE"""),"Indiapost Parcel Contractual")</f>
        <v>Indiapost Parcel Contractual</v>
      </c>
      <c r="G583" s="15" t="str">
        <f ca="1">IFERROR(__xludf.DUMMYFUNCTION("""COMPUTED_VALUE"""),"B2C")</f>
        <v>B2C</v>
      </c>
      <c r="H583" s="15" t="str">
        <f ca="1">IFERROR(__xludf.DUMMYFUNCTION("""COMPUTED_VALUE"""),"Narendra Baviskar")</f>
        <v>Narendra Baviskar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workbookViewId="0"/>
  </sheetViews>
  <sheetFormatPr defaultColWidth="12.6640625" defaultRowHeight="15.75" customHeight="1"/>
  <cols>
    <col min="1" max="1" width="5.44140625" customWidth="1"/>
    <col min="2" max="2" width="5.109375" customWidth="1"/>
    <col min="3" max="3" width="9" customWidth="1"/>
    <col min="4" max="4" width="44" customWidth="1"/>
    <col min="9" max="9" width="15.44140625" customWidth="1"/>
    <col min="10" max="10" width="25.8867187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1"/>
      <c r="C2" s="1"/>
      <c r="D2" s="1"/>
      <c r="E2" s="1"/>
      <c r="F2" s="58" t="s">
        <v>2</v>
      </c>
      <c r="G2" s="59"/>
      <c r="H2" s="59"/>
      <c r="I2" s="5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/>
      <c r="B3" s="2" t="s">
        <v>0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5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6">
        <v>1</v>
      </c>
      <c r="C4" s="6" t="s">
        <v>14</v>
      </c>
      <c r="D4" s="6" t="s">
        <v>15</v>
      </c>
      <c r="E4" s="6">
        <v>1504860613</v>
      </c>
      <c r="F4" s="7">
        <v>46114</v>
      </c>
      <c r="G4" s="6"/>
      <c r="H4" s="6" t="s">
        <v>19</v>
      </c>
      <c r="I4" s="6" t="s">
        <v>20</v>
      </c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6">
        <v>2</v>
      </c>
      <c r="C5" s="6" t="s">
        <v>14</v>
      </c>
      <c r="D5" s="6" t="s">
        <v>22</v>
      </c>
      <c r="E5" s="6">
        <v>1893026504</v>
      </c>
      <c r="F5" s="7">
        <v>46114</v>
      </c>
      <c r="G5" s="6"/>
      <c r="H5" s="6" t="s">
        <v>19</v>
      </c>
      <c r="I5" s="6" t="s">
        <v>20</v>
      </c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6">
        <v>3</v>
      </c>
      <c r="C6" s="6" t="s">
        <v>14</v>
      </c>
      <c r="D6" s="6" t="s">
        <v>26</v>
      </c>
      <c r="E6" s="6">
        <v>1149636129</v>
      </c>
      <c r="F6" s="7">
        <v>46114</v>
      </c>
      <c r="G6" s="6"/>
      <c r="H6" s="6" t="s">
        <v>19</v>
      </c>
      <c r="I6" s="6" t="s">
        <v>29</v>
      </c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6">
        <v>4</v>
      </c>
      <c r="C7" s="6" t="s">
        <v>14</v>
      </c>
      <c r="D7" s="6" t="s">
        <v>31</v>
      </c>
      <c r="E7" s="6">
        <v>1858516980</v>
      </c>
      <c r="F7" s="7">
        <v>46119</v>
      </c>
      <c r="G7" s="6"/>
      <c r="H7" s="6" t="s">
        <v>19</v>
      </c>
      <c r="I7" s="6" t="s">
        <v>20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6">
        <v>5</v>
      </c>
      <c r="C8" s="6" t="s">
        <v>14</v>
      </c>
      <c r="D8" s="6" t="s">
        <v>34</v>
      </c>
      <c r="E8" s="6">
        <v>1540291063</v>
      </c>
      <c r="F8" s="7">
        <v>46121</v>
      </c>
      <c r="G8" s="6"/>
      <c r="H8" s="6" t="s">
        <v>19</v>
      </c>
      <c r="I8" s="6" t="s">
        <v>20</v>
      </c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6">
        <v>6</v>
      </c>
      <c r="C9" s="6" t="s">
        <v>14</v>
      </c>
      <c r="D9" s="6" t="s">
        <v>36</v>
      </c>
      <c r="E9" s="6">
        <v>1601260495</v>
      </c>
      <c r="F9" s="7">
        <v>46121</v>
      </c>
      <c r="G9" s="6"/>
      <c r="H9" s="6" t="s">
        <v>19</v>
      </c>
      <c r="I9" s="6" t="s">
        <v>38</v>
      </c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6">
        <v>7</v>
      </c>
      <c r="C10" s="6" t="s">
        <v>14</v>
      </c>
      <c r="D10" s="6" t="s">
        <v>42</v>
      </c>
      <c r="E10" s="6">
        <v>1955152285</v>
      </c>
      <c r="F10" s="7">
        <v>46127</v>
      </c>
      <c r="G10" s="6"/>
      <c r="H10" s="6" t="s">
        <v>19</v>
      </c>
      <c r="I10" s="6" t="s">
        <v>29</v>
      </c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6">
        <v>8</v>
      </c>
      <c r="C11" s="6" t="s">
        <v>14</v>
      </c>
      <c r="D11" s="6" t="s">
        <v>45</v>
      </c>
      <c r="E11" s="6">
        <v>1784698475</v>
      </c>
      <c r="F11" s="7">
        <v>46127</v>
      </c>
      <c r="G11" s="6"/>
      <c r="H11" s="6" t="s">
        <v>19</v>
      </c>
      <c r="I11" s="6" t="s">
        <v>20</v>
      </c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6">
        <v>9</v>
      </c>
      <c r="C12" s="6" t="s">
        <v>14</v>
      </c>
      <c r="D12" s="6" t="s">
        <v>46</v>
      </c>
      <c r="E12" s="6">
        <v>1802814193</v>
      </c>
      <c r="F12" s="7">
        <v>46127</v>
      </c>
      <c r="G12" s="6"/>
      <c r="H12" s="6" t="s">
        <v>19</v>
      </c>
      <c r="I12" s="6" t="s">
        <v>20</v>
      </c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6">
        <v>10</v>
      </c>
      <c r="C13" s="6" t="s">
        <v>14</v>
      </c>
      <c r="D13" s="6" t="s">
        <v>49</v>
      </c>
      <c r="E13" s="6">
        <v>1264378880</v>
      </c>
      <c r="F13" s="7">
        <v>46128</v>
      </c>
      <c r="G13" s="6"/>
      <c r="H13" s="6" t="s">
        <v>19</v>
      </c>
      <c r="I13" s="6" t="s">
        <v>38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6">
        <v>11</v>
      </c>
      <c r="C14" s="6" t="s">
        <v>14</v>
      </c>
      <c r="D14" s="6" t="s">
        <v>53</v>
      </c>
      <c r="E14" s="6">
        <v>1244430040</v>
      </c>
      <c r="F14" s="7">
        <v>46136</v>
      </c>
      <c r="G14" s="6"/>
      <c r="H14" s="6" t="s">
        <v>19</v>
      </c>
      <c r="I14" s="6" t="s">
        <v>20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6">
        <v>12</v>
      </c>
      <c r="C15" s="6" t="s">
        <v>14</v>
      </c>
      <c r="D15" s="6" t="s">
        <v>55</v>
      </c>
      <c r="E15" s="6">
        <v>1335697406</v>
      </c>
      <c r="F15" s="7">
        <v>46136</v>
      </c>
      <c r="G15" s="6"/>
      <c r="H15" s="6" t="s">
        <v>19</v>
      </c>
      <c r="I15" s="6" t="s">
        <v>29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6">
        <v>13</v>
      </c>
      <c r="C16" s="6" t="s">
        <v>14</v>
      </c>
      <c r="D16" s="6" t="s">
        <v>57</v>
      </c>
      <c r="E16" s="6">
        <v>1651181890</v>
      </c>
      <c r="F16" s="7">
        <v>46121</v>
      </c>
      <c r="G16" s="6"/>
      <c r="H16" s="6" t="s">
        <v>19</v>
      </c>
      <c r="I16" s="6" t="s">
        <v>38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6">
        <v>14</v>
      </c>
      <c r="C17" s="6" t="s">
        <v>14</v>
      </c>
      <c r="D17" s="6" t="s">
        <v>59</v>
      </c>
      <c r="E17" s="6">
        <v>1723023500</v>
      </c>
      <c r="F17" s="7">
        <v>46136</v>
      </c>
      <c r="G17" s="6"/>
      <c r="H17" s="6" t="s">
        <v>19</v>
      </c>
      <c r="I17" s="6" t="s">
        <v>20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6">
        <v>15</v>
      </c>
      <c r="C18" s="6" t="s">
        <v>14</v>
      </c>
      <c r="D18" s="6" t="s">
        <v>62</v>
      </c>
      <c r="E18" s="6">
        <v>1598560103</v>
      </c>
      <c r="F18" s="7">
        <v>46146</v>
      </c>
      <c r="G18" s="6"/>
      <c r="H18" s="6" t="s">
        <v>19</v>
      </c>
      <c r="I18" s="6" t="s">
        <v>29</v>
      </c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6">
        <v>16</v>
      </c>
      <c r="C19" s="6" t="s">
        <v>14</v>
      </c>
      <c r="D19" s="6" t="s">
        <v>64</v>
      </c>
      <c r="E19" s="6">
        <v>1751940875</v>
      </c>
      <c r="F19" s="7">
        <v>46154</v>
      </c>
      <c r="G19" s="6"/>
      <c r="H19" s="6" t="s">
        <v>19</v>
      </c>
      <c r="I19" s="6" t="s">
        <v>20</v>
      </c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6">
        <v>17</v>
      </c>
      <c r="C20" s="6" t="s">
        <v>14</v>
      </c>
      <c r="D20" s="6" t="s">
        <v>65</v>
      </c>
      <c r="E20" s="6">
        <v>1404760827</v>
      </c>
      <c r="F20" s="7">
        <v>46157</v>
      </c>
      <c r="G20" s="6"/>
      <c r="H20" s="6" t="s">
        <v>19</v>
      </c>
      <c r="I20" s="6" t="s">
        <v>20</v>
      </c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6">
        <v>18</v>
      </c>
      <c r="C21" s="6" t="s">
        <v>14</v>
      </c>
      <c r="D21" s="6" t="s">
        <v>69</v>
      </c>
      <c r="E21" s="6">
        <v>1677646540</v>
      </c>
      <c r="F21" s="7">
        <v>46157</v>
      </c>
      <c r="G21" s="6"/>
      <c r="H21" s="6" t="s">
        <v>19</v>
      </c>
      <c r="I21" s="6" t="s">
        <v>38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6">
        <v>19</v>
      </c>
      <c r="C22" s="6" t="s">
        <v>14</v>
      </c>
      <c r="D22" s="6" t="s">
        <v>71</v>
      </c>
      <c r="E22" s="6">
        <v>1295229907</v>
      </c>
      <c r="F22" s="7">
        <v>46157</v>
      </c>
      <c r="G22" s="6"/>
      <c r="H22" s="6" t="s">
        <v>19</v>
      </c>
      <c r="I22" s="6" t="s">
        <v>20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6">
        <v>20</v>
      </c>
      <c r="C23" s="6" t="s">
        <v>14</v>
      </c>
      <c r="D23" s="6" t="s">
        <v>72</v>
      </c>
      <c r="E23" s="6">
        <v>1900618990</v>
      </c>
      <c r="F23" s="7">
        <v>46157</v>
      </c>
      <c r="G23" s="6"/>
      <c r="H23" s="6" t="s">
        <v>19</v>
      </c>
      <c r="I23" s="6" t="s">
        <v>20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6">
        <v>21</v>
      </c>
      <c r="C24" s="6" t="s">
        <v>14</v>
      </c>
      <c r="D24" s="6" t="s">
        <v>75</v>
      </c>
      <c r="E24" s="6">
        <v>1995115361</v>
      </c>
      <c r="F24" s="7">
        <v>46160</v>
      </c>
      <c r="G24" s="6"/>
      <c r="H24" s="6" t="s">
        <v>19</v>
      </c>
      <c r="I24" s="6" t="s">
        <v>38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6">
        <v>22</v>
      </c>
      <c r="C25" s="6" t="s">
        <v>14</v>
      </c>
      <c r="D25" s="6" t="s">
        <v>77</v>
      </c>
      <c r="E25" s="6">
        <v>1928644086</v>
      </c>
      <c r="F25" s="7">
        <v>46161</v>
      </c>
      <c r="G25" s="6"/>
      <c r="H25" s="6" t="s">
        <v>19</v>
      </c>
      <c r="I25" s="6" t="s">
        <v>20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6">
        <v>23</v>
      </c>
      <c r="C26" s="6" t="s">
        <v>14</v>
      </c>
      <c r="D26" s="6" t="s">
        <v>79</v>
      </c>
      <c r="E26" s="6">
        <v>1484254269</v>
      </c>
      <c r="F26" s="7">
        <v>46169</v>
      </c>
      <c r="G26" s="6"/>
      <c r="H26" s="6" t="s">
        <v>19</v>
      </c>
      <c r="I26" s="6" t="s">
        <v>29</v>
      </c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>
      <c r="A27" s="1"/>
      <c r="B27" s="6">
        <v>24</v>
      </c>
      <c r="C27" s="6" t="s">
        <v>14</v>
      </c>
      <c r="D27" s="6" t="s">
        <v>81</v>
      </c>
      <c r="E27" s="6">
        <v>1316759247</v>
      </c>
      <c r="F27" s="7">
        <v>46169</v>
      </c>
      <c r="G27" s="6"/>
      <c r="H27" s="6" t="s">
        <v>19</v>
      </c>
      <c r="I27" s="6" t="s">
        <v>20</v>
      </c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>
      <c r="A28" s="1"/>
      <c r="B28" s="6">
        <v>25</v>
      </c>
      <c r="C28" s="6" t="s">
        <v>14</v>
      </c>
      <c r="D28" s="6" t="s">
        <v>82</v>
      </c>
      <c r="E28" s="6">
        <v>1728296339</v>
      </c>
      <c r="F28" s="7">
        <v>46169</v>
      </c>
      <c r="G28" s="6"/>
      <c r="H28" s="6" t="s">
        <v>19</v>
      </c>
      <c r="I28" s="6" t="s">
        <v>29</v>
      </c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>
      <c r="A29" s="1"/>
      <c r="B29" s="6">
        <v>26</v>
      </c>
      <c r="C29" s="6" t="s">
        <v>14</v>
      </c>
      <c r="D29" s="6" t="s">
        <v>83</v>
      </c>
      <c r="E29" s="6">
        <v>1660828615</v>
      </c>
      <c r="F29" s="7">
        <v>46169</v>
      </c>
      <c r="G29" s="6"/>
      <c r="H29" s="6" t="s">
        <v>19</v>
      </c>
      <c r="I29" s="6" t="s">
        <v>20</v>
      </c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>
      <c r="A30" s="1"/>
      <c r="B30" s="6">
        <v>27</v>
      </c>
      <c r="C30" s="6" t="s">
        <v>14</v>
      </c>
      <c r="D30" s="6" t="s">
        <v>85</v>
      </c>
      <c r="E30" s="6">
        <v>1132126422</v>
      </c>
      <c r="F30" s="7">
        <v>46169</v>
      </c>
      <c r="G30" s="6"/>
      <c r="H30" s="6" t="s">
        <v>19</v>
      </c>
      <c r="I30" s="6" t="s">
        <v>29</v>
      </c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>
      <c r="A31" s="1"/>
      <c r="B31" s="6">
        <v>28</v>
      </c>
      <c r="C31" s="6" t="s">
        <v>14</v>
      </c>
      <c r="D31" s="6" t="s">
        <v>87</v>
      </c>
      <c r="E31" s="6">
        <v>1838482754</v>
      </c>
      <c r="F31" s="7">
        <v>46169</v>
      </c>
      <c r="G31" s="6"/>
      <c r="H31" s="6" t="s">
        <v>19</v>
      </c>
      <c r="I31" s="6" t="s">
        <v>38</v>
      </c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>
      <c r="A32" s="1"/>
      <c r="B32" s="6">
        <v>29</v>
      </c>
      <c r="C32" s="6" t="s">
        <v>14</v>
      </c>
      <c r="D32" s="6" t="s">
        <v>88</v>
      </c>
      <c r="E32" s="6">
        <v>1329301695</v>
      </c>
      <c r="F32" s="7">
        <v>46169</v>
      </c>
      <c r="G32" s="6"/>
      <c r="H32" s="6" t="s">
        <v>19</v>
      </c>
      <c r="I32" s="6" t="s">
        <v>20</v>
      </c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>
      <c r="A33" s="1"/>
      <c r="B33" s="6">
        <v>30</v>
      </c>
      <c r="C33" s="6" t="s">
        <v>14</v>
      </c>
      <c r="D33" s="6" t="s">
        <v>89</v>
      </c>
      <c r="E33" s="6">
        <v>3000009588</v>
      </c>
      <c r="F33" s="7">
        <v>46174</v>
      </c>
      <c r="G33" s="6"/>
      <c r="H33" s="6" t="s">
        <v>19</v>
      </c>
      <c r="I33" s="6" t="s">
        <v>20</v>
      </c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>
      <c r="A34" s="1"/>
      <c r="B34" s="6">
        <v>31</v>
      </c>
      <c r="C34" s="6" t="s">
        <v>14</v>
      </c>
      <c r="D34" s="6" t="s">
        <v>90</v>
      </c>
      <c r="E34" s="6">
        <v>1804236062</v>
      </c>
      <c r="F34" s="7">
        <v>46174</v>
      </c>
      <c r="G34" s="6"/>
      <c r="H34" s="6" t="s">
        <v>19</v>
      </c>
      <c r="I34" s="6" t="s">
        <v>20</v>
      </c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>
      <c r="A35" s="1"/>
      <c r="B35" s="6">
        <v>32</v>
      </c>
      <c r="C35" s="6" t="s">
        <v>14</v>
      </c>
      <c r="D35" s="6" t="s">
        <v>91</v>
      </c>
      <c r="E35" s="6">
        <v>1161465239</v>
      </c>
      <c r="F35" s="7">
        <v>46176</v>
      </c>
      <c r="G35" s="6"/>
      <c r="H35" s="6" t="s">
        <v>19</v>
      </c>
      <c r="I35" s="6" t="s">
        <v>20</v>
      </c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>
      <c r="A36" s="1"/>
      <c r="B36" s="6">
        <v>33</v>
      </c>
      <c r="C36" s="6" t="s">
        <v>14</v>
      </c>
      <c r="D36" s="6" t="s">
        <v>92</v>
      </c>
      <c r="E36" s="6">
        <v>1533129385</v>
      </c>
      <c r="F36" s="7">
        <v>46182</v>
      </c>
      <c r="G36" s="6"/>
      <c r="H36" s="6" t="s">
        <v>19</v>
      </c>
      <c r="I36" s="6" t="s">
        <v>38</v>
      </c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>
      <c r="A37" s="1"/>
      <c r="B37" s="6">
        <v>34</v>
      </c>
      <c r="C37" s="6" t="s">
        <v>14</v>
      </c>
      <c r="D37" s="6" t="s">
        <v>93</v>
      </c>
      <c r="E37" s="6">
        <v>1129271649</v>
      </c>
      <c r="F37" s="7">
        <v>46182</v>
      </c>
      <c r="G37" s="6"/>
      <c r="H37" s="6" t="s">
        <v>19</v>
      </c>
      <c r="I37" s="6" t="s">
        <v>29</v>
      </c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>
      <c r="A38" s="1"/>
      <c r="B38" s="6">
        <v>35</v>
      </c>
      <c r="C38" s="6" t="s">
        <v>14</v>
      </c>
      <c r="D38" s="6" t="s">
        <v>94</v>
      </c>
      <c r="E38" s="6">
        <v>1422857286</v>
      </c>
      <c r="F38" s="7">
        <v>46182</v>
      </c>
      <c r="G38" s="6"/>
      <c r="H38" s="6" t="s">
        <v>19</v>
      </c>
      <c r="I38" s="6" t="s">
        <v>20</v>
      </c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>
      <c r="A39" s="1"/>
      <c r="B39" s="6">
        <v>36</v>
      </c>
      <c r="C39" s="6" t="s">
        <v>14</v>
      </c>
      <c r="D39" s="6" t="s">
        <v>95</v>
      </c>
      <c r="E39" s="6">
        <v>1943080486</v>
      </c>
      <c r="F39" s="7">
        <v>46182</v>
      </c>
      <c r="G39" s="6"/>
      <c r="H39" s="6" t="s">
        <v>19</v>
      </c>
      <c r="I39" s="6" t="s">
        <v>38</v>
      </c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>
      <c r="A40" s="1"/>
      <c r="B40" s="6">
        <v>37</v>
      </c>
      <c r="C40" s="6" t="s">
        <v>14</v>
      </c>
      <c r="D40" s="6" t="s">
        <v>96</v>
      </c>
      <c r="E40" s="6">
        <v>1188407437</v>
      </c>
      <c r="F40" s="7">
        <v>46182</v>
      </c>
      <c r="G40" s="6"/>
      <c r="H40" s="6" t="s">
        <v>19</v>
      </c>
      <c r="I40" s="6" t="s">
        <v>29</v>
      </c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>
      <c r="A41" s="1"/>
      <c r="B41" s="6">
        <v>38</v>
      </c>
      <c r="C41" s="6" t="s">
        <v>14</v>
      </c>
      <c r="D41" s="6" t="s">
        <v>97</v>
      </c>
      <c r="E41" s="6">
        <v>1808596663</v>
      </c>
      <c r="F41" s="7">
        <v>46195</v>
      </c>
      <c r="G41" s="6"/>
      <c r="H41" s="6" t="s">
        <v>19</v>
      </c>
      <c r="I41" s="6" t="s">
        <v>38</v>
      </c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>
      <c r="A42" s="1"/>
      <c r="B42" s="6">
        <v>39</v>
      </c>
      <c r="C42" s="6" t="s">
        <v>14</v>
      </c>
      <c r="D42" s="6" t="s">
        <v>98</v>
      </c>
      <c r="E42" s="6">
        <v>1583054640</v>
      </c>
      <c r="F42" s="7">
        <v>46195</v>
      </c>
      <c r="G42" s="6"/>
      <c r="H42" s="6" t="s">
        <v>19</v>
      </c>
      <c r="I42" s="6" t="s">
        <v>29</v>
      </c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>
      <c r="A43" s="1"/>
      <c r="B43" s="6">
        <v>40</v>
      </c>
      <c r="C43" s="6" t="s">
        <v>14</v>
      </c>
      <c r="D43" s="6" t="s">
        <v>99</v>
      </c>
      <c r="E43" s="6">
        <v>1234253895</v>
      </c>
      <c r="F43" s="7">
        <v>46197</v>
      </c>
      <c r="G43" s="6"/>
      <c r="H43" s="6" t="s">
        <v>19</v>
      </c>
      <c r="I43" s="6" t="s">
        <v>29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>
      <c r="A44" s="1"/>
      <c r="B44" s="6">
        <v>41</v>
      </c>
      <c r="C44" s="6" t="s">
        <v>14</v>
      </c>
      <c r="D44" s="6" t="s">
        <v>100</v>
      </c>
      <c r="E44" s="6">
        <v>1296712458</v>
      </c>
      <c r="F44" s="7">
        <v>46197</v>
      </c>
      <c r="G44" s="6"/>
      <c r="H44" s="6" t="s">
        <v>19</v>
      </c>
      <c r="I44" s="6" t="s">
        <v>29</v>
      </c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>
      <c r="A45" s="1"/>
      <c r="B45" s="6">
        <v>42</v>
      </c>
      <c r="C45" s="6" t="s">
        <v>14</v>
      </c>
      <c r="D45" s="6" t="s">
        <v>101</v>
      </c>
      <c r="E45" s="6">
        <v>1909759008</v>
      </c>
      <c r="F45" s="7">
        <v>46197</v>
      </c>
      <c r="G45" s="6"/>
      <c r="H45" s="6" t="s">
        <v>19</v>
      </c>
      <c r="I45" s="6" t="s">
        <v>20</v>
      </c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>
      <c r="A46" s="1"/>
      <c r="B46" s="6">
        <v>43</v>
      </c>
      <c r="C46" s="6" t="s">
        <v>14</v>
      </c>
      <c r="D46" s="6" t="s">
        <v>102</v>
      </c>
      <c r="E46" s="6">
        <v>1160587323</v>
      </c>
      <c r="F46" s="7">
        <v>46197</v>
      </c>
      <c r="G46" s="6"/>
      <c r="H46" s="6" t="s">
        <v>19</v>
      </c>
      <c r="I46" s="6" t="s">
        <v>38</v>
      </c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>
      <c r="A47" s="1"/>
      <c r="B47" s="6">
        <v>44</v>
      </c>
      <c r="C47" s="6" t="s">
        <v>14</v>
      </c>
      <c r="D47" s="6" t="s">
        <v>103</v>
      </c>
      <c r="E47" s="6">
        <v>1743018894</v>
      </c>
      <c r="F47" s="7">
        <v>46197</v>
      </c>
      <c r="G47" s="6"/>
      <c r="H47" s="6" t="s">
        <v>19</v>
      </c>
      <c r="I47" s="6" t="s">
        <v>38</v>
      </c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>
      <c r="A48" s="1"/>
      <c r="B48" s="6">
        <v>45</v>
      </c>
      <c r="C48" s="6" t="s">
        <v>14</v>
      </c>
      <c r="D48" s="6" t="s">
        <v>104</v>
      </c>
      <c r="E48" s="6">
        <v>1845228720</v>
      </c>
      <c r="F48" s="7">
        <v>46197</v>
      </c>
      <c r="G48" s="6"/>
      <c r="H48" s="6" t="s">
        <v>19</v>
      </c>
      <c r="I48" s="6" t="s">
        <v>20</v>
      </c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>
      <c r="A49" s="1"/>
      <c r="B49" s="6">
        <v>46</v>
      </c>
      <c r="C49" s="6" t="s">
        <v>14</v>
      </c>
      <c r="D49" s="6" t="s">
        <v>105</v>
      </c>
      <c r="E49" s="6">
        <v>1133832663</v>
      </c>
      <c r="F49" s="7">
        <v>46203</v>
      </c>
      <c r="G49" s="6"/>
      <c r="H49" s="6" t="s">
        <v>19</v>
      </c>
      <c r="I49" s="6" t="s">
        <v>29</v>
      </c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>
      <c r="A50" s="1"/>
      <c r="B50" s="6">
        <v>47</v>
      </c>
      <c r="C50" s="6" t="s">
        <v>14</v>
      </c>
      <c r="D50" s="6" t="s">
        <v>106</v>
      </c>
      <c r="E50" s="6">
        <v>1913063058</v>
      </c>
      <c r="F50" s="7">
        <v>46203</v>
      </c>
      <c r="G50" s="6"/>
      <c r="H50" s="6" t="s">
        <v>19</v>
      </c>
      <c r="I50" s="6" t="s">
        <v>20</v>
      </c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>
      <c r="A51" s="1"/>
      <c r="B51" s="6">
        <v>48</v>
      </c>
      <c r="C51" s="6" t="s">
        <v>14</v>
      </c>
      <c r="D51" s="6" t="s">
        <v>107</v>
      </c>
      <c r="E51" s="6">
        <v>1425585353</v>
      </c>
      <c r="F51" s="7">
        <v>46204</v>
      </c>
      <c r="G51" s="6"/>
      <c r="H51" s="6" t="s">
        <v>19</v>
      </c>
      <c r="I51" s="6" t="s">
        <v>20</v>
      </c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>
      <c r="A52" s="1"/>
      <c r="B52" s="6">
        <v>49</v>
      </c>
      <c r="C52" s="6" t="s">
        <v>14</v>
      </c>
      <c r="D52" s="6" t="s">
        <v>109</v>
      </c>
      <c r="E52" s="6">
        <v>1950123528</v>
      </c>
      <c r="F52" s="7">
        <v>46205</v>
      </c>
      <c r="G52" s="6"/>
      <c r="H52" s="6" t="s">
        <v>19</v>
      </c>
      <c r="I52" s="6" t="s">
        <v>20</v>
      </c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>
      <c r="A53" s="1"/>
      <c r="B53" s="6">
        <v>50</v>
      </c>
      <c r="C53" s="6" t="s">
        <v>14</v>
      </c>
      <c r="D53" s="6" t="s">
        <v>110</v>
      </c>
      <c r="E53" s="6">
        <v>1170830433</v>
      </c>
      <c r="F53" s="7">
        <v>46209</v>
      </c>
      <c r="G53" s="6"/>
      <c r="H53" s="6" t="s">
        <v>19</v>
      </c>
      <c r="I53" s="6" t="s">
        <v>29</v>
      </c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>
      <c r="A54" s="1"/>
      <c r="B54" s="6">
        <v>51</v>
      </c>
      <c r="C54" s="6" t="s">
        <v>14</v>
      </c>
      <c r="D54" s="6" t="s">
        <v>111</v>
      </c>
      <c r="E54" s="6">
        <v>1193283934</v>
      </c>
      <c r="F54" s="7">
        <v>46209</v>
      </c>
      <c r="G54" s="6"/>
      <c r="H54" s="6" t="s">
        <v>19</v>
      </c>
      <c r="I54" s="6" t="s">
        <v>29</v>
      </c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>
      <c r="A55" s="1"/>
      <c r="B55" s="6">
        <v>52</v>
      </c>
      <c r="C55" s="6" t="s">
        <v>14</v>
      </c>
      <c r="D55" s="6" t="s">
        <v>112</v>
      </c>
      <c r="E55" s="6">
        <v>1929493007</v>
      </c>
      <c r="F55" s="7">
        <v>46216</v>
      </c>
      <c r="G55" s="6"/>
      <c r="H55" s="6" t="s">
        <v>19</v>
      </c>
      <c r="I55" s="6" t="s">
        <v>20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>
      <c r="A56" s="1"/>
      <c r="B56" s="6">
        <v>53</v>
      </c>
      <c r="C56" s="6" t="s">
        <v>14</v>
      </c>
      <c r="D56" s="6" t="s">
        <v>113</v>
      </c>
      <c r="E56" s="6">
        <v>1000139830</v>
      </c>
      <c r="F56" s="7">
        <v>46216</v>
      </c>
      <c r="G56" s="6"/>
      <c r="H56" s="6" t="s">
        <v>19</v>
      </c>
      <c r="I56" s="6" t="s">
        <v>29</v>
      </c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>
      <c r="A57" s="1"/>
      <c r="B57" s="6">
        <v>54</v>
      </c>
      <c r="C57" s="6" t="s">
        <v>14</v>
      </c>
      <c r="D57" s="6" t="s">
        <v>114</v>
      </c>
      <c r="E57" s="6">
        <v>1363703562</v>
      </c>
      <c r="F57" s="7">
        <v>46216</v>
      </c>
      <c r="G57" s="6"/>
      <c r="H57" s="6" t="s">
        <v>19</v>
      </c>
      <c r="I57" s="6" t="s">
        <v>38</v>
      </c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>
      <c r="A58" s="1"/>
      <c r="B58" s="6">
        <v>55</v>
      </c>
      <c r="C58" s="6" t="s">
        <v>14</v>
      </c>
      <c r="D58" s="6" t="s">
        <v>115</v>
      </c>
      <c r="E58" s="6">
        <v>1735125629</v>
      </c>
      <c r="F58" s="7">
        <v>46218</v>
      </c>
      <c r="G58" s="6"/>
      <c r="H58" s="6" t="s">
        <v>19</v>
      </c>
      <c r="I58" s="6" t="s">
        <v>38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>
      <c r="A59" s="1"/>
      <c r="B59" s="6">
        <v>56</v>
      </c>
      <c r="C59" s="6" t="s">
        <v>14</v>
      </c>
      <c r="D59" s="6" t="s">
        <v>116</v>
      </c>
      <c r="E59" s="6">
        <v>1417168016</v>
      </c>
      <c r="F59" s="7">
        <v>46218</v>
      </c>
      <c r="G59" s="6"/>
      <c r="H59" s="6" t="s">
        <v>19</v>
      </c>
      <c r="I59" s="6" t="s">
        <v>20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>
      <c r="A60" s="1"/>
      <c r="B60" s="6">
        <v>57</v>
      </c>
      <c r="C60" s="6" t="s">
        <v>14</v>
      </c>
      <c r="D60" s="6" t="s">
        <v>117</v>
      </c>
      <c r="E60" s="6">
        <v>1952816963</v>
      </c>
      <c r="F60" s="7">
        <v>46218</v>
      </c>
      <c r="G60" s="6"/>
      <c r="H60" s="6" t="s">
        <v>118</v>
      </c>
      <c r="I60" s="6" t="s">
        <v>20</v>
      </c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>
      <c r="A61" s="1"/>
      <c r="B61" s="6">
        <v>58</v>
      </c>
      <c r="C61" s="6" t="s">
        <v>14</v>
      </c>
      <c r="D61" s="6" t="s">
        <v>119</v>
      </c>
      <c r="E61" s="6">
        <v>1100842696</v>
      </c>
      <c r="F61" s="7">
        <v>46226</v>
      </c>
      <c r="G61" s="6"/>
      <c r="H61" s="6" t="s">
        <v>19</v>
      </c>
      <c r="I61" s="6" t="s">
        <v>29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>
      <c r="A62" s="1"/>
      <c r="B62" s="6">
        <v>59</v>
      </c>
      <c r="C62" s="6" t="s">
        <v>14</v>
      </c>
      <c r="D62" s="6" t="s">
        <v>120</v>
      </c>
      <c r="E62" s="6">
        <v>1503880606</v>
      </c>
      <c r="F62" s="7">
        <v>46226</v>
      </c>
      <c r="G62" s="6"/>
      <c r="H62" s="6" t="s">
        <v>19</v>
      </c>
      <c r="I62" s="6" t="s">
        <v>29</v>
      </c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>
      <c r="A63" s="1"/>
      <c r="B63" s="6">
        <v>60</v>
      </c>
      <c r="C63" s="6" t="s">
        <v>14</v>
      </c>
      <c r="D63" s="6" t="s">
        <v>121</v>
      </c>
      <c r="E63" s="6">
        <v>1127334021</v>
      </c>
      <c r="F63" s="7">
        <v>46226</v>
      </c>
      <c r="G63" s="6"/>
      <c r="H63" s="6" t="s">
        <v>19</v>
      </c>
      <c r="I63" s="6" t="s">
        <v>20</v>
      </c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>
      <c r="A64" s="1"/>
      <c r="B64" s="6">
        <v>61</v>
      </c>
      <c r="C64" s="6" t="s">
        <v>14</v>
      </c>
      <c r="D64" s="6" t="s">
        <v>122</v>
      </c>
      <c r="E64" s="6">
        <v>1713538732</v>
      </c>
      <c r="F64" s="7">
        <v>46232</v>
      </c>
      <c r="G64" s="6"/>
      <c r="H64" s="6" t="s">
        <v>19</v>
      </c>
      <c r="I64" s="6" t="s">
        <v>20</v>
      </c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>
      <c r="A65" s="1"/>
      <c r="B65" s="6">
        <v>62</v>
      </c>
      <c r="C65" s="6" t="s">
        <v>14</v>
      </c>
      <c r="D65" s="6" t="s">
        <v>123</v>
      </c>
      <c r="E65" s="6">
        <v>1581886034</v>
      </c>
      <c r="F65" s="7">
        <v>46232</v>
      </c>
      <c r="G65" s="6"/>
      <c r="H65" s="6" t="s">
        <v>19</v>
      </c>
      <c r="I65" s="6" t="s">
        <v>20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>
      <c r="A66" s="1"/>
      <c r="B66" s="6">
        <v>63</v>
      </c>
      <c r="C66" s="6" t="s">
        <v>14</v>
      </c>
      <c r="D66" s="6" t="s">
        <v>124</v>
      </c>
      <c r="E66" s="6">
        <v>1261051215</v>
      </c>
      <c r="F66" s="7">
        <v>46232</v>
      </c>
      <c r="G66" s="6"/>
      <c r="H66" s="6" t="s">
        <v>19</v>
      </c>
      <c r="I66" s="6" t="s">
        <v>20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>
      <c r="A67" s="1"/>
      <c r="B67" s="6">
        <v>64</v>
      </c>
      <c r="C67" s="6" t="s">
        <v>14</v>
      </c>
      <c r="D67" s="6" t="s">
        <v>125</v>
      </c>
      <c r="E67" s="6">
        <v>1881278509</v>
      </c>
      <c r="F67" s="7">
        <v>46232</v>
      </c>
      <c r="G67" s="6"/>
      <c r="H67" s="6" t="s">
        <v>19</v>
      </c>
      <c r="I67" s="6" t="s">
        <v>20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>
      <c r="A68" s="1"/>
      <c r="B68" s="6">
        <v>65</v>
      </c>
      <c r="C68" s="6" t="s">
        <v>14</v>
      </c>
      <c r="D68" s="6" t="s">
        <v>126</v>
      </c>
      <c r="E68" s="6">
        <v>1699237877</v>
      </c>
      <c r="F68" s="7">
        <v>46232</v>
      </c>
      <c r="G68" s="6"/>
      <c r="H68" s="6" t="s">
        <v>19</v>
      </c>
      <c r="I68" s="6" t="s">
        <v>20</v>
      </c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>
      <c r="A69" s="1"/>
      <c r="B69" s="6">
        <v>66</v>
      </c>
      <c r="C69" s="6" t="s">
        <v>14</v>
      </c>
      <c r="D69" s="6" t="s">
        <v>127</v>
      </c>
      <c r="E69" s="6">
        <v>1223677972</v>
      </c>
      <c r="F69" s="7">
        <v>46232</v>
      </c>
      <c r="G69" s="6"/>
      <c r="H69" s="6" t="s">
        <v>19</v>
      </c>
      <c r="I69" s="6" t="s">
        <v>38</v>
      </c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>
      <c r="A70" s="1"/>
      <c r="B70" s="6">
        <v>67</v>
      </c>
      <c r="C70" s="6" t="s">
        <v>14</v>
      </c>
      <c r="D70" s="6" t="s">
        <v>128</v>
      </c>
      <c r="E70" s="6">
        <v>1997809878</v>
      </c>
      <c r="F70" s="7">
        <v>46232</v>
      </c>
      <c r="G70" s="6"/>
      <c r="H70" s="6" t="s">
        <v>19</v>
      </c>
      <c r="I70" s="6" t="s">
        <v>38</v>
      </c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>
      <c r="A71" s="1"/>
      <c r="B71" s="6">
        <v>68</v>
      </c>
      <c r="C71" s="6" t="s">
        <v>14</v>
      </c>
      <c r="D71" s="6" t="s">
        <v>129</v>
      </c>
      <c r="E71" s="6">
        <v>1473198944</v>
      </c>
      <c r="F71" s="7">
        <v>46233</v>
      </c>
      <c r="G71" s="6"/>
      <c r="H71" s="6" t="s">
        <v>19</v>
      </c>
      <c r="I71" s="6" t="s">
        <v>29</v>
      </c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>
      <c r="A72" s="1"/>
      <c r="B72" s="6">
        <v>69</v>
      </c>
      <c r="C72" s="6" t="s">
        <v>14</v>
      </c>
      <c r="D72" s="6" t="s">
        <v>130</v>
      </c>
      <c r="E72" s="6">
        <v>1214563388</v>
      </c>
      <c r="F72" s="7">
        <v>46233</v>
      </c>
      <c r="G72" s="6"/>
      <c r="H72" s="6" t="s">
        <v>19</v>
      </c>
      <c r="I72" s="6" t="s">
        <v>38</v>
      </c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>
      <c r="A73" s="1"/>
      <c r="B73" s="6">
        <v>70</v>
      </c>
      <c r="C73" s="6" t="s">
        <v>14</v>
      </c>
      <c r="D73" s="6" t="s">
        <v>131</v>
      </c>
      <c r="E73" s="6">
        <v>1375646231</v>
      </c>
      <c r="F73" s="7">
        <v>46238</v>
      </c>
      <c r="G73" s="6"/>
      <c r="H73" s="6" t="s">
        <v>19</v>
      </c>
      <c r="I73" s="6" t="s">
        <v>38</v>
      </c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>
      <c r="A74" s="1"/>
      <c r="B74" s="6">
        <v>71</v>
      </c>
      <c r="C74" s="6" t="s">
        <v>14</v>
      </c>
      <c r="D74" s="6" t="s">
        <v>132</v>
      </c>
      <c r="E74" s="6">
        <v>1123451318</v>
      </c>
      <c r="F74" s="7">
        <v>46238</v>
      </c>
      <c r="G74" s="6"/>
      <c r="H74" s="6" t="s">
        <v>19</v>
      </c>
      <c r="I74" s="6" t="s">
        <v>29</v>
      </c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>
      <c r="A75" s="1"/>
      <c r="B75" s="6">
        <v>72</v>
      </c>
      <c r="C75" s="6" t="s">
        <v>14</v>
      </c>
      <c r="D75" s="6" t="s">
        <v>133</v>
      </c>
      <c r="E75" s="6">
        <v>1352121329</v>
      </c>
      <c r="F75" s="7">
        <v>46238</v>
      </c>
      <c r="G75" s="6"/>
      <c r="H75" s="6" t="s">
        <v>19</v>
      </c>
      <c r="I75" s="6" t="s">
        <v>38</v>
      </c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>
      <c r="A76" s="1"/>
      <c r="B76" s="6">
        <v>73</v>
      </c>
      <c r="C76" s="6" t="s">
        <v>14</v>
      </c>
      <c r="D76" s="6" t="s">
        <v>134</v>
      </c>
      <c r="E76" s="6">
        <v>3000069615</v>
      </c>
      <c r="F76" s="7">
        <v>46239</v>
      </c>
      <c r="G76" s="6"/>
      <c r="H76" s="6" t="s">
        <v>19</v>
      </c>
      <c r="I76" s="6" t="s">
        <v>20</v>
      </c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>
      <c r="A77" s="1"/>
      <c r="B77" s="6">
        <v>74</v>
      </c>
      <c r="C77" s="6" t="s">
        <v>14</v>
      </c>
      <c r="D77" s="6" t="s">
        <v>135</v>
      </c>
      <c r="E77" s="6">
        <v>1136441715</v>
      </c>
      <c r="F77" s="7">
        <v>46239</v>
      </c>
      <c r="G77" s="6"/>
      <c r="H77" s="6" t="s">
        <v>19</v>
      </c>
      <c r="I77" s="6" t="s">
        <v>20</v>
      </c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>
      <c r="A78" s="1"/>
      <c r="B78" s="6">
        <v>75</v>
      </c>
      <c r="C78" s="6" t="s">
        <v>14</v>
      </c>
      <c r="D78" s="6" t="s">
        <v>136</v>
      </c>
      <c r="E78" s="6">
        <v>1659043732</v>
      </c>
      <c r="F78" s="7">
        <v>46239</v>
      </c>
      <c r="G78" s="6"/>
      <c r="H78" s="6" t="s">
        <v>19</v>
      </c>
      <c r="I78" s="6" t="s">
        <v>20</v>
      </c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>
      <c r="A79" s="1"/>
      <c r="B79" s="6">
        <v>76</v>
      </c>
      <c r="C79" s="6" t="s">
        <v>14</v>
      </c>
      <c r="D79" s="6" t="s">
        <v>137</v>
      </c>
      <c r="E79" s="6">
        <v>1961828217</v>
      </c>
      <c r="F79" s="7">
        <v>46239</v>
      </c>
      <c r="G79" s="6"/>
      <c r="H79" s="6" t="s">
        <v>19</v>
      </c>
      <c r="I79" s="6" t="s">
        <v>38</v>
      </c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>
      <c r="A80" s="1"/>
      <c r="B80" s="6">
        <v>77</v>
      </c>
      <c r="C80" s="6" t="s">
        <v>14</v>
      </c>
      <c r="D80" s="6" t="s">
        <v>138</v>
      </c>
      <c r="E80" s="6">
        <v>3000066866</v>
      </c>
      <c r="F80" s="7">
        <v>46239</v>
      </c>
      <c r="G80" s="6"/>
      <c r="H80" s="6" t="s">
        <v>19</v>
      </c>
      <c r="I80" s="6" t="s">
        <v>20</v>
      </c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>
      <c r="A81" s="1"/>
      <c r="B81" s="6">
        <v>78</v>
      </c>
      <c r="C81" s="6" t="s">
        <v>14</v>
      </c>
      <c r="D81" s="6" t="s">
        <v>139</v>
      </c>
      <c r="E81" s="6">
        <v>1190143405</v>
      </c>
      <c r="F81" s="7">
        <v>46239</v>
      </c>
      <c r="G81" s="6"/>
      <c r="H81" s="6" t="s">
        <v>19</v>
      </c>
      <c r="I81" s="6" t="s">
        <v>29</v>
      </c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>
      <c r="A82" s="1"/>
      <c r="B82" s="6">
        <v>79</v>
      </c>
      <c r="C82" s="6" t="s">
        <v>14</v>
      </c>
      <c r="D82" s="6" t="s">
        <v>140</v>
      </c>
      <c r="E82" s="6">
        <v>1577251666</v>
      </c>
      <c r="F82" s="7">
        <v>46239</v>
      </c>
      <c r="G82" s="6"/>
      <c r="H82" s="6" t="s">
        <v>19</v>
      </c>
      <c r="I82" s="6" t="s">
        <v>20</v>
      </c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>
      <c r="A83" s="1"/>
      <c r="B83" s="6">
        <v>80</v>
      </c>
      <c r="C83" s="6" t="s">
        <v>14</v>
      </c>
      <c r="D83" s="6" t="s">
        <v>141</v>
      </c>
      <c r="E83" s="6">
        <v>1682921625</v>
      </c>
      <c r="F83" s="7">
        <v>46241</v>
      </c>
      <c r="G83" s="6"/>
      <c r="H83" s="6" t="s">
        <v>19</v>
      </c>
      <c r="I83" s="6" t="s">
        <v>38</v>
      </c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>
      <c r="A84" s="1"/>
      <c r="B84" s="6">
        <v>81</v>
      </c>
      <c r="C84" s="6" t="s">
        <v>14</v>
      </c>
      <c r="D84" s="6" t="s">
        <v>142</v>
      </c>
      <c r="E84" s="6">
        <v>1658779587</v>
      </c>
      <c r="F84" s="7">
        <v>46241</v>
      </c>
      <c r="G84" s="6"/>
      <c r="H84" s="6" t="s">
        <v>19</v>
      </c>
      <c r="I84" s="6" t="s">
        <v>38</v>
      </c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>
      <c r="A85" s="1"/>
      <c r="B85" s="6">
        <v>82</v>
      </c>
      <c r="C85" s="6" t="s">
        <v>14</v>
      </c>
      <c r="D85" s="6" t="s">
        <v>143</v>
      </c>
      <c r="E85" s="6">
        <v>1684392997</v>
      </c>
      <c r="F85" s="7">
        <v>46241</v>
      </c>
      <c r="G85" s="6"/>
      <c r="H85" s="6" t="s">
        <v>19</v>
      </c>
      <c r="I85" s="6" t="s">
        <v>20</v>
      </c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>
      <c r="A86" s="1"/>
      <c r="B86" s="6">
        <v>83</v>
      </c>
      <c r="C86" s="6" t="s">
        <v>14</v>
      </c>
      <c r="D86" s="6" t="s">
        <v>144</v>
      </c>
      <c r="E86" s="6">
        <v>1774327470</v>
      </c>
      <c r="F86" s="7">
        <v>46241</v>
      </c>
      <c r="G86" s="6"/>
      <c r="H86" s="6" t="s">
        <v>19</v>
      </c>
      <c r="I86" s="6" t="s">
        <v>29</v>
      </c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>
      <c r="A87" s="1"/>
      <c r="B87" s="6">
        <v>84</v>
      </c>
      <c r="C87" s="6" t="s">
        <v>14</v>
      </c>
      <c r="D87" s="6" t="s">
        <v>145</v>
      </c>
      <c r="E87" s="6">
        <v>1274236974</v>
      </c>
      <c r="F87" s="7">
        <v>46241</v>
      </c>
      <c r="G87" s="6"/>
      <c r="H87" s="6" t="s">
        <v>19</v>
      </c>
      <c r="I87" s="6" t="s">
        <v>29</v>
      </c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>
      <c r="A88" s="1"/>
      <c r="B88" s="6">
        <v>85</v>
      </c>
      <c r="C88" s="6" t="s">
        <v>14</v>
      </c>
      <c r="D88" s="6" t="s">
        <v>146</v>
      </c>
      <c r="E88" s="6">
        <v>1685737865</v>
      </c>
      <c r="F88" s="7">
        <v>46241</v>
      </c>
      <c r="G88" s="6"/>
      <c r="H88" s="6" t="s">
        <v>19</v>
      </c>
      <c r="I88" s="6" t="s">
        <v>38</v>
      </c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>
      <c r="A89" s="1"/>
      <c r="B89" s="6">
        <v>86</v>
      </c>
      <c r="C89" s="6" t="s">
        <v>14</v>
      </c>
      <c r="D89" s="6" t="s">
        <v>147</v>
      </c>
      <c r="E89" s="6">
        <v>1725308207</v>
      </c>
      <c r="F89" s="7">
        <v>46241</v>
      </c>
      <c r="G89" s="6"/>
      <c r="H89" s="6" t="s">
        <v>19</v>
      </c>
      <c r="I89" s="6" t="s">
        <v>38</v>
      </c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>
      <c r="A90" s="1"/>
      <c r="B90" s="6">
        <v>87</v>
      </c>
      <c r="C90" s="6" t="s">
        <v>14</v>
      </c>
      <c r="D90" s="6" t="s">
        <v>148</v>
      </c>
      <c r="E90" s="6">
        <v>1445096237</v>
      </c>
      <c r="F90" s="7">
        <v>46241</v>
      </c>
      <c r="G90" s="6"/>
      <c r="H90" s="6" t="s">
        <v>19</v>
      </c>
      <c r="I90" s="6" t="s">
        <v>29</v>
      </c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>
      <c r="A91" s="1"/>
      <c r="B91" s="6">
        <v>88</v>
      </c>
      <c r="C91" s="6" t="s">
        <v>14</v>
      </c>
      <c r="D91" s="6" t="s">
        <v>149</v>
      </c>
      <c r="E91" s="6">
        <v>1676380595</v>
      </c>
      <c r="F91" s="7">
        <v>46241</v>
      </c>
      <c r="G91" s="6"/>
      <c r="H91" s="6" t="s">
        <v>19</v>
      </c>
      <c r="I91" s="6" t="s">
        <v>20</v>
      </c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>
      <c r="A92" s="1"/>
      <c r="B92" s="6">
        <v>89</v>
      </c>
      <c r="C92" s="6" t="s">
        <v>14</v>
      </c>
      <c r="D92" s="6" t="s">
        <v>150</v>
      </c>
      <c r="E92" s="6">
        <v>1733415161</v>
      </c>
      <c r="F92" s="7">
        <v>46244</v>
      </c>
      <c r="G92" s="6"/>
      <c r="H92" s="6" t="s">
        <v>19</v>
      </c>
      <c r="I92" s="6" t="s">
        <v>29</v>
      </c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>
      <c r="A93" s="1"/>
      <c r="B93" s="6">
        <v>90</v>
      </c>
      <c r="C93" s="6" t="s">
        <v>14</v>
      </c>
      <c r="D93" s="6" t="s">
        <v>151</v>
      </c>
      <c r="E93" s="6">
        <v>1350549684</v>
      </c>
      <c r="F93" s="7">
        <v>46244</v>
      </c>
      <c r="G93" s="6"/>
      <c r="H93" s="6" t="s">
        <v>19</v>
      </c>
      <c r="I93" s="6" t="s">
        <v>38</v>
      </c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>
      <c r="A94" s="1"/>
      <c r="B94" s="6">
        <v>91</v>
      </c>
      <c r="C94" s="6" t="s">
        <v>14</v>
      </c>
      <c r="D94" s="6" t="s">
        <v>152</v>
      </c>
      <c r="E94" s="6">
        <v>1813348405</v>
      </c>
      <c r="F94" s="7">
        <v>46244</v>
      </c>
      <c r="G94" s="6"/>
      <c r="H94" s="6" t="s">
        <v>19</v>
      </c>
      <c r="I94" s="6" t="s">
        <v>29</v>
      </c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>
      <c r="A95" s="1"/>
      <c r="B95" s="6">
        <v>92</v>
      </c>
      <c r="C95" s="6" t="s">
        <v>14</v>
      </c>
      <c r="D95" s="6" t="s">
        <v>153</v>
      </c>
      <c r="E95" s="6">
        <v>1938121786</v>
      </c>
      <c r="F95" s="7">
        <v>46244</v>
      </c>
      <c r="G95" s="6"/>
      <c r="H95" s="6" t="s">
        <v>19</v>
      </c>
      <c r="I95" s="6" t="s">
        <v>20</v>
      </c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>
      <c r="A96" s="1"/>
      <c r="B96" s="6">
        <v>93</v>
      </c>
      <c r="C96" s="6" t="s">
        <v>14</v>
      </c>
      <c r="D96" s="6" t="s">
        <v>154</v>
      </c>
      <c r="E96" s="6">
        <v>1253677581</v>
      </c>
      <c r="F96" s="7">
        <v>46244</v>
      </c>
      <c r="G96" s="6"/>
      <c r="H96" s="6" t="s">
        <v>19</v>
      </c>
      <c r="I96" s="6" t="s">
        <v>20</v>
      </c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>
      <c r="A97" s="1"/>
      <c r="B97" s="6">
        <v>94</v>
      </c>
      <c r="C97" s="6" t="s">
        <v>14</v>
      </c>
      <c r="D97" s="6" t="s">
        <v>155</v>
      </c>
      <c r="E97" s="6">
        <v>1725852955</v>
      </c>
      <c r="F97" s="7">
        <v>46246</v>
      </c>
      <c r="G97" s="6"/>
      <c r="H97" s="6" t="s">
        <v>19</v>
      </c>
      <c r="I97" s="6" t="s">
        <v>20</v>
      </c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>
      <c r="A98" s="1"/>
      <c r="B98" s="6">
        <v>95</v>
      </c>
      <c r="C98" s="6" t="s">
        <v>14</v>
      </c>
      <c r="D98" s="6" t="s">
        <v>156</v>
      </c>
      <c r="E98" s="6">
        <v>3000067733</v>
      </c>
      <c r="F98" s="7">
        <v>46246</v>
      </c>
      <c r="G98" s="6"/>
      <c r="H98" s="6" t="s">
        <v>19</v>
      </c>
      <c r="I98" s="6" t="s">
        <v>20</v>
      </c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>
      <c r="A99" s="1"/>
      <c r="B99" s="6">
        <v>96</v>
      </c>
      <c r="C99" s="6" t="s">
        <v>14</v>
      </c>
      <c r="D99" s="6" t="s">
        <v>157</v>
      </c>
      <c r="E99" s="6">
        <v>1762979652</v>
      </c>
      <c r="F99" s="7">
        <v>46246</v>
      </c>
      <c r="G99" s="6"/>
      <c r="H99" s="6" t="s">
        <v>19</v>
      </c>
      <c r="I99" s="6" t="s">
        <v>29</v>
      </c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>
      <c r="A100" s="1"/>
      <c r="B100" s="6">
        <v>97</v>
      </c>
      <c r="C100" s="6" t="s">
        <v>14</v>
      </c>
      <c r="D100" s="6" t="s">
        <v>158</v>
      </c>
      <c r="E100" s="6">
        <v>3000063279</v>
      </c>
      <c r="F100" s="7">
        <v>46246</v>
      </c>
      <c r="G100" s="6"/>
      <c r="H100" s="6" t="s">
        <v>19</v>
      </c>
      <c r="I100" s="6" t="s">
        <v>20</v>
      </c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>
      <c r="A101" s="1"/>
      <c r="B101" s="6">
        <v>98</v>
      </c>
      <c r="C101" s="6" t="s">
        <v>14</v>
      </c>
      <c r="D101" s="6" t="s">
        <v>159</v>
      </c>
      <c r="E101" s="6">
        <v>1730557738</v>
      </c>
      <c r="F101" s="7">
        <v>46246</v>
      </c>
      <c r="G101" s="6"/>
      <c r="H101" s="6" t="s">
        <v>19</v>
      </c>
      <c r="I101" s="6" t="s">
        <v>20</v>
      </c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>
      <c r="A102" s="1"/>
      <c r="B102" s="6">
        <v>99</v>
      </c>
      <c r="C102" s="6" t="s">
        <v>14</v>
      </c>
      <c r="D102" s="6" t="s">
        <v>160</v>
      </c>
      <c r="E102" s="6">
        <v>1622015534</v>
      </c>
      <c r="F102" s="7">
        <v>46248</v>
      </c>
      <c r="G102" s="6"/>
      <c r="H102" s="6" t="s">
        <v>19</v>
      </c>
      <c r="I102" s="6" t="s">
        <v>29</v>
      </c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>
      <c r="A103" s="1"/>
      <c r="B103" s="6">
        <v>100</v>
      </c>
      <c r="C103" s="6" t="s">
        <v>14</v>
      </c>
      <c r="D103" s="6" t="s">
        <v>161</v>
      </c>
      <c r="E103" s="6">
        <v>1853770744</v>
      </c>
      <c r="F103" s="7">
        <v>46248</v>
      </c>
      <c r="G103" s="6"/>
      <c r="H103" s="6" t="s">
        <v>19</v>
      </c>
      <c r="I103" s="6" t="s">
        <v>38</v>
      </c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>
      <c r="A104" s="1"/>
      <c r="B104" s="6">
        <v>101</v>
      </c>
      <c r="C104" s="6" t="s">
        <v>14</v>
      </c>
      <c r="D104" s="6" t="s">
        <v>162</v>
      </c>
      <c r="E104" s="6">
        <v>3000069560</v>
      </c>
      <c r="F104" s="7">
        <v>46248</v>
      </c>
      <c r="G104" s="6"/>
      <c r="H104" s="6" t="s">
        <v>19</v>
      </c>
      <c r="I104" s="6" t="s">
        <v>20</v>
      </c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>
      <c r="A105" s="1"/>
      <c r="B105" s="6">
        <v>102</v>
      </c>
      <c r="C105" s="6" t="s">
        <v>14</v>
      </c>
      <c r="D105" s="6" t="s">
        <v>163</v>
      </c>
      <c r="E105" s="6">
        <v>3000068491</v>
      </c>
      <c r="F105" s="7">
        <v>46252</v>
      </c>
      <c r="G105" s="6"/>
      <c r="H105" s="6" t="s">
        <v>19</v>
      </c>
      <c r="I105" s="6" t="s">
        <v>29</v>
      </c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>
      <c r="A106" s="1"/>
      <c r="B106" s="6">
        <v>103</v>
      </c>
      <c r="C106" s="6" t="s">
        <v>14</v>
      </c>
      <c r="D106" s="6" t="s">
        <v>164</v>
      </c>
      <c r="E106" s="6">
        <v>1478187168</v>
      </c>
      <c r="F106" s="7">
        <v>46255</v>
      </c>
      <c r="G106" s="6"/>
      <c r="H106" s="6" t="s">
        <v>19</v>
      </c>
      <c r="I106" s="6" t="s">
        <v>20</v>
      </c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>
      <c r="A107" s="1"/>
      <c r="B107" s="6">
        <v>104</v>
      </c>
      <c r="C107" s="6" t="s">
        <v>14</v>
      </c>
      <c r="D107" s="6" t="s">
        <v>165</v>
      </c>
      <c r="E107" s="6">
        <v>1473113296</v>
      </c>
      <c r="F107" s="7">
        <v>46255</v>
      </c>
      <c r="G107" s="6"/>
      <c r="H107" s="6" t="s">
        <v>19</v>
      </c>
      <c r="I107" s="6" t="s">
        <v>20</v>
      </c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>
      <c r="A108" s="1"/>
      <c r="B108" s="6">
        <v>105</v>
      </c>
      <c r="C108" s="6" t="s">
        <v>14</v>
      </c>
      <c r="D108" s="6" t="s">
        <v>166</v>
      </c>
      <c r="E108" s="6">
        <v>1295335058</v>
      </c>
      <c r="F108" s="7">
        <v>46255</v>
      </c>
      <c r="G108" s="6"/>
      <c r="H108" s="6" t="s">
        <v>19</v>
      </c>
      <c r="I108" s="6" t="s">
        <v>29</v>
      </c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>
      <c r="A109" s="1"/>
      <c r="B109" s="6">
        <v>106</v>
      </c>
      <c r="C109" s="6" t="s">
        <v>14</v>
      </c>
      <c r="D109" s="6" t="s">
        <v>167</v>
      </c>
      <c r="E109" s="6">
        <v>1123158393</v>
      </c>
      <c r="F109" s="7">
        <v>46259</v>
      </c>
      <c r="G109" s="6"/>
      <c r="H109" s="6" t="s">
        <v>19</v>
      </c>
      <c r="I109" s="6" t="s">
        <v>38</v>
      </c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>
      <c r="A110" s="1"/>
      <c r="B110" s="6">
        <v>107</v>
      </c>
      <c r="C110" s="6" t="s">
        <v>14</v>
      </c>
      <c r="D110" s="6" t="s">
        <v>168</v>
      </c>
      <c r="E110" s="6">
        <v>3000054450</v>
      </c>
      <c r="F110" s="7">
        <v>46259</v>
      </c>
      <c r="G110" s="6"/>
      <c r="H110" s="6" t="s">
        <v>19</v>
      </c>
      <c r="I110" s="6" t="s">
        <v>20</v>
      </c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>
      <c r="A111" s="1"/>
      <c r="B111" s="6">
        <v>108</v>
      </c>
      <c r="C111" s="6" t="s">
        <v>14</v>
      </c>
      <c r="D111" s="6" t="s">
        <v>169</v>
      </c>
      <c r="E111" s="6">
        <v>1205457511</v>
      </c>
      <c r="F111" s="7">
        <v>46259</v>
      </c>
      <c r="G111" s="6"/>
      <c r="H111" s="6" t="s">
        <v>19</v>
      </c>
      <c r="I111" s="6" t="s">
        <v>20</v>
      </c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>
      <c r="A112" s="1"/>
      <c r="B112" s="6">
        <v>109</v>
      </c>
      <c r="C112" s="6" t="s">
        <v>14</v>
      </c>
      <c r="D112" s="6" t="s">
        <v>170</v>
      </c>
      <c r="E112" s="6">
        <v>1838596890</v>
      </c>
      <c r="F112" s="7">
        <v>46259</v>
      </c>
      <c r="G112" s="6"/>
      <c r="H112" s="6" t="s">
        <v>19</v>
      </c>
      <c r="I112" s="6" t="s">
        <v>20</v>
      </c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>
      <c r="A113" s="1"/>
      <c r="B113" s="6">
        <v>110</v>
      </c>
      <c r="C113" s="6" t="s">
        <v>14</v>
      </c>
      <c r="D113" s="6" t="s">
        <v>171</v>
      </c>
      <c r="E113" s="6">
        <v>1568847077</v>
      </c>
      <c r="F113" s="7">
        <v>46259</v>
      </c>
      <c r="G113" s="6"/>
      <c r="H113" s="6" t="s">
        <v>19</v>
      </c>
      <c r="I113" s="6" t="s">
        <v>20</v>
      </c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>
      <c r="A114" s="1"/>
      <c r="B114" s="6">
        <v>111</v>
      </c>
      <c r="C114" s="6" t="s">
        <v>14</v>
      </c>
      <c r="D114" s="6" t="s">
        <v>172</v>
      </c>
      <c r="E114" s="6">
        <v>1125768630</v>
      </c>
      <c r="F114" s="7">
        <v>46259</v>
      </c>
      <c r="G114" s="6"/>
      <c r="H114" s="6" t="s">
        <v>19</v>
      </c>
      <c r="I114" s="6" t="s">
        <v>38</v>
      </c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>
      <c r="A115" s="1"/>
      <c r="B115" s="6">
        <v>112</v>
      </c>
      <c r="C115" s="6" t="s">
        <v>14</v>
      </c>
      <c r="D115" s="6" t="s">
        <v>173</v>
      </c>
      <c r="E115" s="6">
        <v>1657954791</v>
      </c>
      <c r="F115" s="17">
        <v>46266</v>
      </c>
      <c r="G115" s="6"/>
      <c r="H115" s="6" t="s">
        <v>19</v>
      </c>
      <c r="I115" s="6" t="s">
        <v>20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>
      <c r="A116" s="1"/>
      <c r="B116" s="6">
        <v>113</v>
      </c>
      <c r="C116" s="6" t="s">
        <v>14</v>
      </c>
      <c r="D116" s="6" t="s">
        <v>174</v>
      </c>
      <c r="E116" s="6">
        <v>1535324745</v>
      </c>
      <c r="F116" s="17">
        <v>46268</v>
      </c>
      <c r="G116" s="6"/>
      <c r="H116" s="6" t="s">
        <v>19</v>
      </c>
      <c r="I116" s="6" t="s">
        <v>20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>
      <c r="A117" s="1"/>
      <c r="B117" s="6">
        <v>114</v>
      </c>
      <c r="C117" s="6" t="s">
        <v>14</v>
      </c>
      <c r="D117" s="6" t="s">
        <v>175</v>
      </c>
      <c r="E117" s="6">
        <v>1135036673</v>
      </c>
      <c r="F117" s="17">
        <v>46268</v>
      </c>
      <c r="G117" s="6"/>
      <c r="H117" s="6" t="s">
        <v>19</v>
      </c>
      <c r="I117" s="6" t="s">
        <v>38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>
      <c r="A118" s="1"/>
      <c r="B118" s="6">
        <v>115</v>
      </c>
      <c r="C118" s="6" t="s">
        <v>14</v>
      </c>
      <c r="D118" s="6" t="s">
        <v>176</v>
      </c>
      <c r="E118" s="6">
        <v>1854782629</v>
      </c>
      <c r="F118" s="17">
        <v>46268</v>
      </c>
      <c r="G118" s="6"/>
      <c r="H118" s="6" t="s">
        <v>19</v>
      </c>
      <c r="I118" s="6" t="s">
        <v>20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>
      <c r="A119" s="1"/>
      <c r="B119" s="6">
        <v>116</v>
      </c>
      <c r="C119" s="6" t="s">
        <v>14</v>
      </c>
      <c r="D119" s="6" t="s">
        <v>177</v>
      </c>
      <c r="E119" s="6">
        <v>1722162365</v>
      </c>
      <c r="F119" s="17">
        <v>46272</v>
      </c>
      <c r="G119" s="6"/>
      <c r="H119" s="6" t="s">
        <v>19</v>
      </c>
      <c r="I119" s="6" t="s">
        <v>29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>
      <c r="A120" s="1"/>
      <c r="B120" s="6">
        <v>117</v>
      </c>
      <c r="C120" s="6" t="s">
        <v>14</v>
      </c>
      <c r="D120" s="6" t="s">
        <v>178</v>
      </c>
      <c r="E120" s="6">
        <v>1630655772</v>
      </c>
      <c r="F120" s="17">
        <v>46272</v>
      </c>
      <c r="G120" s="6"/>
      <c r="H120" s="6" t="s">
        <v>19</v>
      </c>
      <c r="I120" s="6" t="s">
        <v>20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>
      <c r="A121" s="1"/>
      <c r="B121" s="6">
        <v>118</v>
      </c>
      <c r="C121" s="6" t="s">
        <v>14</v>
      </c>
      <c r="D121" s="6" t="s">
        <v>179</v>
      </c>
      <c r="E121" s="6">
        <v>1406987678</v>
      </c>
      <c r="F121" s="17">
        <v>46275</v>
      </c>
      <c r="G121" s="6"/>
      <c r="H121" s="6" t="s">
        <v>19</v>
      </c>
      <c r="I121" s="6" t="s">
        <v>20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>
      <c r="A122" s="1"/>
      <c r="B122" s="6">
        <v>119</v>
      </c>
      <c r="C122" s="6" t="s">
        <v>14</v>
      </c>
      <c r="D122" s="6" t="s">
        <v>180</v>
      </c>
      <c r="E122" s="6">
        <v>1163419719</v>
      </c>
      <c r="F122" s="17">
        <v>46280</v>
      </c>
      <c r="G122" s="6"/>
      <c r="H122" s="6" t="s">
        <v>19</v>
      </c>
      <c r="I122" s="6" t="s">
        <v>29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>
      <c r="A123" s="1"/>
      <c r="B123" s="6">
        <v>120</v>
      </c>
      <c r="C123" s="6" t="s">
        <v>14</v>
      </c>
      <c r="D123" s="6" t="s">
        <v>181</v>
      </c>
      <c r="E123" s="6">
        <v>1986767228</v>
      </c>
      <c r="F123" s="17">
        <v>46280</v>
      </c>
      <c r="G123" s="6"/>
      <c r="H123" s="6" t="s">
        <v>19</v>
      </c>
      <c r="I123" s="6" t="s">
        <v>38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>
      <c r="A124" s="1"/>
      <c r="B124" s="6">
        <v>121</v>
      </c>
      <c r="C124" s="6" t="s">
        <v>14</v>
      </c>
      <c r="D124" s="6" t="s">
        <v>181</v>
      </c>
      <c r="E124" s="6">
        <v>1986767228</v>
      </c>
      <c r="F124" s="17">
        <v>46280</v>
      </c>
      <c r="G124" s="6"/>
      <c r="H124" s="6" t="s">
        <v>19</v>
      </c>
      <c r="I124" s="6" t="s">
        <v>38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>
      <c r="A125" s="1"/>
      <c r="B125" s="6">
        <v>122</v>
      </c>
      <c r="C125" s="6" t="s">
        <v>14</v>
      </c>
      <c r="D125" s="6" t="s">
        <v>187</v>
      </c>
      <c r="E125" s="6">
        <v>1639127303</v>
      </c>
      <c r="F125" s="17">
        <v>46281</v>
      </c>
      <c r="G125" s="6"/>
      <c r="H125" s="6" t="s">
        <v>19</v>
      </c>
      <c r="I125" s="6" t="s">
        <v>38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>
      <c r="A126" s="1"/>
      <c r="B126" s="6">
        <v>123</v>
      </c>
      <c r="C126" s="6" t="s">
        <v>14</v>
      </c>
      <c r="D126" s="6" t="s">
        <v>124</v>
      </c>
      <c r="E126" s="6">
        <v>1261051215</v>
      </c>
      <c r="F126" s="17">
        <v>46281</v>
      </c>
      <c r="G126" s="6"/>
      <c r="H126" s="6" t="s">
        <v>19</v>
      </c>
      <c r="I126" s="6" t="s">
        <v>20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>
      <c r="A127" s="1"/>
      <c r="B127" s="6">
        <v>124</v>
      </c>
      <c r="C127" s="6" t="s">
        <v>14</v>
      </c>
      <c r="D127" s="6" t="s">
        <v>190</v>
      </c>
      <c r="E127" s="6">
        <v>1384942458</v>
      </c>
      <c r="F127" s="17">
        <v>46281</v>
      </c>
      <c r="G127" s="6"/>
      <c r="H127" s="6" t="s">
        <v>19</v>
      </c>
      <c r="I127" s="6" t="s">
        <v>20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>
      <c r="A128" s="1"/>
      <c r="B128" s="6">
        <v>125</v>
      </c>
      <c r="C128" s="6" t="s">
        <v>14</v>
      </c>
      <c r="D128" s="6" t="s">
        <v>190</v>
      </c>
      <c r="E128" s="6">
        <v>1384942458</v>
      </c>
      <c r="F128" s="17">
        <v>46281</v>
      </c>
      <c r="G128" s="6"/>
      <c r="H128" s="6" t="s">
        <v>19</v>
      </c>
      <c r="I128" s="6" t="s">
        <v>20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>
      <c r="A129" s="1"/>
      <c r="B129" s="6">
        <v>126</v>
      </c>
      <c r="C129" s="6" t="s">
        <v>14</v>
      </c>
      <c r="D129" s="6" t="s">
        <v>196</v>
      </c>
      <c r="E129" s="6">
        <v>1560588852</v>
      </c>
      <c r="F129" s="17">
        <v>46281</v>
      </c>
      <c r="G129" s="6"/>
      <c r="H129" s="6" t="s">
        <v>19</v>
      </c>
      <c r="I129" s="6" t="s">
        <v>20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>
      <c r="A130" s="1"/>
      <c r="B130" s="6">
        <v>127</v>
      </c>
      <c r="C130" s="6" t="s">
        <v>14</v>
      </c>
      <c r="D130" s="6" t="s">
        <v>176</v>
      </c>
      <c r="E130" s="6">
        <v>1854782629</v>
      </c>
      <c r="F130" s="17">
        <v>46286</v>
      </c>
      <c r="G130" s="6"/>
      <c r="H130" s="6" t="s">
        <v>19</v>
      </c>
      <c r="I130" s="6" t="s">
        <v>20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>
      <c r="A131" s="1"/>
      <c r="B131" s="6">
        <v>128</v>
      </c>
      <c r="C131" s="6" t="s">
        <v>14</v>
      </c>
      <c r="D131" s="6" t="s">
        <v>200</v>
      </c>
      <c r="E131" s="6">
        <v>1150539278</v>
      </c>
      <c r="F131" s="17">
        <v>46286</v>
      </c>
      <c r="G131" s="6"/>
      <c r="H131" s="6" t="s">
        <v>19</v>
      </c>
      <c r="I131" s="6" t="s">
        <v>20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>
      <c r="A132" s="1"/>
      <c r="B132" s="6">
        <v>129</v>
      </c>
      <c r="C132" s="6" t="s">
        <v>14</v>
      </c>
      <c r="D132" s="6" t="s">
        <v>200</v>
      </c>
      <c r="E132" s="6">
        <v>1150539278</v>
      </c>
      <c r="F132" s="17">
        <v>46286</v>
      </c>
      <c r="G132" s="6"/>
      <c r="H132" s="6" t="s">
        <v>19</v>
      </c>
      <c r="I132" s="6" t="s">
        <v>20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>
      <c r="A133" s="1"/>
      <c r="B133" s="6">
        <v>130</v>
      </c>
      <c r="C133" s="6" t="s">
        <v>14</v>
      </c>
      <c r="D133" s="6" t="s">
        <v>203</v>
      </c>
      <c r="E133" s="6">
        <v>1720780519</v>
      </c>
      <c r="F133" s="17">
        <v>46286</v>
      </c>
      <c r="G133" s="6"/>
      <c r="H133" s="6" t="s">
        <v>19</v>
      </c>
      <c r="I133" s="6" t="s">
        <v>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>
      <c r="A134" s="1"/>
      <c r="B134" s="6">
        <v>131</v>
      </c>
      <c r="C134" s="6" t="s">
        <v>14</v>
      </c>
      <c r="D134" s="6" t="s">
        <v>203</v>
      </c>
      <c r="E134" s="6">
        <v>1720780519</v>
      </c>
      <c r="F134" s="17">
        <v>46286</v>
      </c>
      <c r="G134" s="6"/>
      <c r="H134" s="6" t="s">
        <v>19</v>
      </c>
      <c r="I134" s="6" t="s">
        <v>20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>
      <c r="A135" s="1"/>
      <c r="B135" s="6">
        <v>132</v>
      </c>
      <c r="C135" s="6" t="s">
        <v>14</v>
      </c>
      <c r="D135" s="6" t="s">
        <v>206</v>
      </c>
      <c r="E135" s="6">
        <v>1150852699</v>
      </c>
      <c r="F135" s="17">
        <v>46286</v>
      </c>
      <c r="G135" s="6"/>
      <c r="H135" s="6" t="s">
        <v>19</v>
      </c>
      <c r="I135" s="6" t="s">
        <v>29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>
      <c r="A136" s="1"/>
      <c r="B136" s="6">
        <v>133</v>
      </c>
      <c r="C136" s="6" t="s">
        <v>14</v>
      </c>
      <c r="D136" s="6" t="s">
        <v>209</v>
      </c>
      <c r="E136" s="6">
        <v>1911538771</v>
      </c>
      <c r="F136" s="17">
        <v>46289</v>
      </c>
      <c r="G136" s="6"/>
      <c r="H136" s="6" t="s">
        <v>19</v>
      </c>
      <c r="I136" s="6" t="s">
        <v>29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>
      <c r="A137" s="1"/>
      <c r="B137" s="6">
        <v>134</v>
      </c>
      <c r="C137" s="6" t="s">
        <v>14</v>
      </c>
      <c r="D137" s="6" t="s">
        <v>209</v>
      </c>
      <c r="E137" s="6">
        <v>1911538771</v>
      </c>
      <c r="F137" s="17">
        <v>46289</v>
      </c>
      <c r="G137" s="6"/>
      <c r="H137" s="6" t="s">
        <v>19</v>
      </c>
      <c r="I137" s="6" t="s">
        <v>29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>
      <c r="A138" s="1"/>
      <c r="B138" s="6">
        <v>135</v>
      </c>
      <c r="C138" s="6" t="s">
        <v>14</v>
      </c>
      <c r="D138" s="6" t="s">
        <v>212</v>
      </c>
      <c r="E138" s="6">
        <v>1502887931</v>
      </c>
      <c r="F138" s="17">
        <v>46289</v>
      </c>
      <c r="G138" s="6"/>
      <c r="H138" s="6" t="s">
        <v>19</v>
      </c>
      <c r="I138" s="6" t="s">
        <v>38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>
      <c r="A139" s="1"/>
      <c r="B139" s="6">
        <v>136</v>
      </c>
      <c r="C139" s="6" t="s">
        <v>14</v>
      </c>
      <c r="D139" s="6" t="s">
        <v>212</v>
      </c>
      <c r="E139" s="6">
        <v>1502887931</v>
      </c>
      <c r="F139" s="17">
        <v>46289</v>
      </c>
      <c r="G139" s="6"/>
      <c r="H139" s="6" t="s">
        <v>19</v>
      </c>
      <c r="I139" s="6" t="s">
        <v>38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>
      <c r="A140" s="1"/>
      <c r="B140" s="6">
        <v>137</v>
      </c>
      <c r="C140" s="6" t="s">
        <v>14</v>
      </c>
      <c r="D140" s="6" t="s">
        <v>218</v>
      </c>
      <c r="E140" s="6">
        <v>1696624180</v>
      </c>
      <c r="F140" s="17">
        <v>46293</v>
      </c>
      <c r="G140" s="6"/>
      <c r="H140" s="6" t="s">
        <v>19</v>
      </c>
      <c r="I140" s="6" t="s">
        <v>29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>
      <c r="A141" s="1"/>
      <c r="B141" s="6">
        <v>138</v>
      </c>
      <c r="C141" s="6" t="s">
        <v>14</v>
      </c>
      <c r="D141" s="6" t="s">
        <v>222</v>
      </c>
      <c r="E141" s="6">
        <v>1653695280</v>
      </c>
      <c r="F141" s="17">
        <v>46293</v>
      </c>
      <c r="G141" s="6"/>
      <c r="H141" s="6" t="s">
        <v>19</v>
      </c>
      <c r="I141" s="6" t="s">
        <v>38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>
      <c r="A142" s="1"/>
      <c r="B142" s="6">
        <v>139</v>
      </c>
      <c r="C142" s="6" t="s">
        <v>14</v>
      </c>
      <c r="D142" s="6" t="s">
        <v>222</v>
      </c>
      <c r="E142" s="6">
        <v>1653695280</v>
      </c>
      <c r="F142" s="17">
        <v>46293</v>
      </c>
      <c r="G142" s="6"/>
      <c r="H142" s="6" t="s">
        <v>19</v>
      </c>
      <c r="I142" s="6" t="s">
        <v>38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>
      <c r="A143" s="1"/>
      <c r="B143" s="6">
        <v>140</v>
      </c>
      <c r="C143" s="6" t="s">
        <v>14</v>
      </c>
      <c r="D143" s="6" t="s">
        <v>226</v>
      </c>
      <c r="E143" s="6">
        <v>1371997835</v>
      </c>
      <c r="F143" s="17">
        <v>46293</v>
      </c>
      <c r="G143" s="6"/>
      <c r="H143" s="6" t="s">
        <v>19</v>
      </c>
      <c r="I143" s="6" t="s">
        <v>38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>
      <c r="A144" s="1"/>
      <c r="B144" s="6">
        <v>141</v>
      </c>
      <c r="C144" s="6" t="s">
        <v>14</v>
      </c>
      <c r="D144" s="6" t="s">
        <v>227</v>
      </c>
      <c r="E144" s="6">
        <v>1155195180</v>
      </c>
      <c r="F144" s="17">
        <v>46293</v>
      </c>
      <c r="G144" s="6"/>
      <c r="H144" s="6" t="s">
        <v>19</v>
      </c>
      <c r="I144" s="6" t="s">
        <v>29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>
      <c r="A145" s="1"/>
      <c r="B145" s="6">
        <v>142</v>
      </c>
      <c r="C145" s="6" t="s">
        <v>14</v>
      </c>
      <c r="D145" s="6" t="s">
        <v>231</v>
      </c>
      <c r="E145" s="6">
        <v>1333237578</v>
      </c>
      <c r="F145" s="17">
        <v>46293</v>
      </c>
      <c r="G145" s="6"/>
      <c r="H145" s="6" t="s">
        <v>19</v>
      </c>
      <c r="I145" s="6" t="s">
        <v>20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>
      <c r="A146" s="1"/>
      <c r="B146" s="6">
        <v>143</v>
      </c>
      <c r="C146" s="6" t="s">
        <v>14</v>
      </c>
      <c r="D146" s="6" t="s">
        <v>234</v>
      </c>
      <c r="E146" s="6">
        <v>1834308501</v>
      </c>
      <c r="F146" s="17">
        <v>46294</v>
      </c>
      <c r="G146" s="6"/>
      <c r="H146" s="6" t="s">
        <v>19</v>
      </c>
      <c r="I146" s="6" t="s">
        <v>20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>
      <c r="A147" s="1"/>
      <c r="B147" s="6">
        <v>144</v>
      </c>
      <c r="C147" s="6" t="s">
        <v>14</v>
      </c>
      <c r="D147" s="6" t="s">
        <v>234</v>
      </c>
      <c r="E147" s="6">
        <v>1834308501</v>
      </c>
      <c r="F147" s="17">
        <v>46294</v>
      </c>
      <c r="G147" s="6"/>
      <c r="H147" s="6" t="s">
        <v>19</v>
      </c>
      <c r="I147" s="6" t="s">
        <v>20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>
      <c r="A148" s="1"/>
      <c r="B148" s="6"/>
      <c r="C148" s="6"/>
      <c r="D148" s="6"/>
      <c r="E148" s="6"/>
      <c r="F148" s="6"/>
      <c r="G148" s="6"/>
      <c r="H148" s="6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>
      <c r="A149" s="1"/>
      <c r="B149" s="6"/>
      <c r="C149" s="6"/>
      <c r="D149" s="6"/>
      <c r="E149" s="6"/>
      <c r="F149" s="6"/>
      <c r="G149" s="6"/>
      <c r="H149" s="6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>
      <c r="A150" s="1"/>
      <c r="B150" s="6"/>
      <c r="C150" s="6"/>
      <c r="D150" s="6"/>
      <c r="E150" s="6"/>
      <c r="F150" s="6"/>
      <c r="G150" s="6"/>
      <c r="H150" s="6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>
      <c r="A151" s="1"/>
      <c r="B151" s="6"/>
      <c r="C151" s="6"/>
      <c r="D151" s="6"/>
      <c r="E151" s="6"/>
      <c r="F151" s="6"/>
      <c r="G151" s="6"/>
      <c r="H151" s="6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>
      <c r="A152" s="1"/>
      <c r="B152" s="6"/>
      <c r="C152" s="6"/>
      <c r="D152" s="6"/>
      <c r="E152" s="6"/>
      <c r="F152" s="6"/>
      <c r="G152" s="6"/>
      <c r="H152" s="6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>
      <c r="A153" s="1"/>
      <c r="B153" s="6"/>
      <c r="C153" s="6"/>
      <c r="D153" s="6"/>
      <c r="E153" s="6"/>
      <c r="F153" s="6"/>
      <c r="G153" s="6"/>
      <c r="H153" s="6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>
      <c r="A154" s="1"/>
      <c r="B154" s="6"/>
      <c r="C154" s="6"/>
      <c r="D154" s="6"/>
      <c r="E154" s="6"/>
      <c r="F154" s="6"/>
      <c r="G154" s="6"/>
      <c r="H154" s="6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>
      <c r="A155" s="1"/>
      <c r="B155" s="6"/>
      <c r="C155" s="6"/>
      <c r="D155" s="6"/>
      <c r="E155" s="6"/>
      <c r="F155" s="6"/>
      <c r="G155" s="6"/>
      <c r="H155" s="6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>
      <c r="A156" s="1"/>
      <c r="B156" s="6"/>
      <c r="C156" s="6"/>
      <c r="D156" s="6"/>
      <c r="E156" s="6"/>
      <c r="F156" s="6"/>
      <c r="G156" s="6"/>
      <c r="H156" s="6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>
      <c r="A157" s="1"/>
      <c r="B157" s="6"/>
      <c r="C157" s="6"/>
      <c r="D157" s="6"/>
      <c r="E157" s="6"/>
      <c r="F157" s="6"/>
      <c r="G157" s="6"/>
      <c r="H157" s="6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>
      <c r="A158" s="1"/>
      <c r="B158" s="6"/>
      <c r="C158" s="6"/>
      <c r="D158" s="6"/>
      <c r="E158" s="6"/>
      <c r="F158" s="6"/>
      <c r="G158" s="6"/>
      <c r="H158" s="6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>
      <c r="A159" s="1"/>
      <c r="B159" s="6"/>
      <c r="C159" s="6"/>
      <c r="D159" s="6"/>
      <c r="E159" s="6"/>
      <c r="F159" s="6"/>
      <c r="G159" s="6"/>
      <c r="H159" s="6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>
      <c r="A160" s="1"/>
      <c r="B160" s="6"/>
      <c r="C160" s="6"/>
      <c r="D160" s="6"/>
      <c r="E160" s="6"/>
      <c r="F160" s="6"/>
      <c r="G160" s="6"/>
      <c r="H160" s="6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>
      <c r="A161" s="1"/>
      <c r="B161" s="6"/>
      <c r="C161" s="6"/>
      <c r="D161" s="6"/>
      <c r="E161" s="6"/>
      <c r="F161" s="6"/>
      <c r="G161" s="6"/>
      <c r="H161" s="6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>
      <c r="A162" s="1"/>
      <c r="B162" s="6"/>
      <c r="C162" s="6"/>
      <c r="D162" s="6"/>
      <c r="E162" s="6"/>
      <c r="F162" s="6"/>
      <c r="G162" s="6"/>
      <c r="H162" s="6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>
      <c r="A163" s="1"/>
      <c r="B163" s="6"/>
      <c r="C163" s="6"/>
      <c r="D163" s="6"/>
      <c r="E163" s="6"/>
      <c r="F163" s="6"/>
      <c r="G163" s="6"/>
      <c r="H163" s="6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>
      <c r="A164" s="1"/>
      <c r="B164" s="6"/>
      <c r="C164" s="6"/>
      <c r="D164" s="6"/>
      <c r="E164" s="6"/>
      <c r="F164" s="6"/>
      <c r="G164" s="6"/>
      <c r="H164" s="6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>
      <c r="A165" s="1"/>
      <c r="B165" s="6"/>
      <c r="C165" s="6"/>
      <c r="D165" s="6"/>
      <c r="E165" s="6"/>
      <c r="F165" s="6"/>
      <c r="G165" s="6"/>
      <c r="H165" s="6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>
      <c r="A166" s="1"/>
      <c r="B166" s="6"/>
      <c r="C166" s="6"/>
      <c r="D166" s="6"/>
      <c r="E166" s="6"/>
      <c r="F166" s="6"/>
      <c r="G166" s="6"/>
      <c r="H166" s="6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>
      <c r="A167" s="1"/>
      <c r="B167" s="6"/>
      <c r="C167" s="6"/>
      <c r="D167" s="6"/>
      <c r="E167" s="6"/>
      <c r="F167" s="6"/>
      <c r="G167" s="6"/>
      <c r="H167" s="6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>
      <c r="A168" s="1"/>
      <c r="B168" s="6"/>
      <c r="C168" s="6"/>
      <c r="D168" s="6"/>
      <c r="E168" s="6"/>
      <c r="F168" s="6"/>
      <c r="G168" s="6"/>
      <c r="H168" s="6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>
      <c r="A169" s="1"/>
      <c r="B169" s="6"/>
      <c r="C169" s="6"/>
      <c r="D169" s="6"/>
      <c r="E169" s="6"/>
      <c r="F169" s="6"/>
      <c r="G169" s="6"/>
      <c r="H169" s="6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>
      <c r="A170" s="1"/>
      <c r="B170" s="6"/>
      <c r="C170" s="6"/>
      <c r="D170" s="6"/>
      <c r="E170" s="6"/>
      <c r="F170" s="6"/>
      <c r="G170" s="6"/>
      <c r="H170" s="6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>
      <c r="A171" s="1"/>
      <c r="B171" s="6"/>
      <c r="C171" s="6"/>
      <c r="D171" s="6"/>
      <c r="E171" s="6"/>
      <c r="F171" s="6"/>
      <c r="G171" s="6"/>
      <c r="H171" s="6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>
      <c r="A172" s="1"/>
      <c r="B172" s="6"/>
      <c r="C172" s="6"/>
      <c r="D172" s="6"/>
      <c r="E172" s="6"/>
      <c r="F172" s="6"/>
      <c r="G172" s="6"/>
      <c r="H172" s="6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>
      <c r="A173" s="1"/>
      <c r="B173" s="6"/>
      <c r="C173" s="6"/>
      <c r="D173" s="6"/>
      <c r="E173" s="6"/>
      <c r="F173" s="6"/>
      <c r="G173" s="6"/>
      <c r="H173" s="6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>
      <c r="A174" s="1"/>
      <c r="B174" s="6"/>
      <c r="C174" s="6"/>
      <c r="D174" s="6"/>
      <c r="E174" s="6"/>
      <c r="F174" s="6"/>
      <c r="G174" s="6"/>
      <c r="H174" s="6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>
      <c r="A175" s="1"/>
      <c r="B175" s="6"/>
      <c r="C175" s="6"/>
      <c r="D175" s="6"/>
      <c r="E175" s="6"/>
      <c r="F175" s="6"/>
      <c r="G175" s="6"/>
      <c r="H175" s="6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>
      <c r="A176" s="1"/>
      <c r="B176" s="6"/>
      <c r="C176" s="6"/>
      <c r="D176" s="6"/>
      <c r="E176" s="6"/>
      <c r="F176" s="6"/>
      <c r="G176" s="6"/>
      <c r="H176" s="6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>
      <c r="A177" s="1"/>
      <c r="B177" s="6"/>
      <c r="C177" s="6"/>
      <c r="D177" s="6"/>
      <c r="E177" s="6"/>
      <c r="F177" s="6"/>
      <c r="G177" s="6"/>
      <c r="H177" s="6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>
      <c r="A178" s="1"/>
      <c r="B178" s="6"/>
      <c r="C178" s="6"/>
      <c r="D178" s="6"/>
      <c r="E178" s="6"/>
      <c r="F178" s="6"/>
      <c r="G178" s="6"/>
      <c r="H178" s="6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>
      <c r="A179" s="1"/>
      <c r="B179" s="6"/>
      <c r="C179" s="6"/>
      <c r="D179" s="6"/>
      <c r="E179" s="6"/>
      <c r="F179" s="6"/>
      <c r="G179" s="6"/>
      <c r="H179" s="6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>
      <c r="A180" s="1"/>
      <c r="B180" s="6"/>
      <c r="C180" s="6"/>
      <c r="D180" s="6"/>
      <c r="E180" s="6"/>
      <c r="F180" s="6"/>
      <c r="G180" s="6"/>
      <c r="H180" s="6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>
      <c r="A181" s="1"/>
      <c r="B181" s="6"/>
      <c r="C181" s="6"/>
      <c r="D181" s="6"/>
      <c r="E181" s="6"/>
      <c r="F181" s="6"/>
      <c r="G181" s="6"/>
      <c r="H181" s="6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>
      <c r="A182" s="1"/>
      <c r="B182" s="6"/>
      <c r="C182" s="6"/>
      <c r="D182" s="6"/>
      <c r="E182" s="6"/>
      <c r="F182" s="6"/>
      <c r="G182" s="6"/>
      <c r="H182" s="6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>
      <c r="A183" s="1"/>
      <c r="B183" s="6"/>
      <c r="C183" s="6"/>
      <c r="D183" s="6"/>
      <c r="E183" s="6"/>
      <c r="F183" s="6"/>
      <c r="G183" s="6"/>
      <c r="H183" s="6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>
      <c r="A184" s="1"/>
      <c r="B184" s="6"/>
      <c r="C184" s="6"/>
      <c r="D184" s="6"/>
      <c r="E184" s="6"/>
      <c r="F184" s="6"/>
      <c r="G184" s="6"/>
      <c r="H184" s="6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>
      <c r="A185" s="1"/>
      <c r="B185" s="6"/>
      <c r="C185" s="6"/>
      <c r="D185" s="6"/>
      <c r="E185" s="6"/>
      <c r="F185" s="6"/>
      <c r="G185" s="6"/>
      <c r="H185" s="6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>
      <c r="A186" s="1"/>
      <c r="B186" s="6"/>
      <c r="C186" s="6"/>
      <c r="D186" s="6"/>
      <c r="E186" s="6"/>
      <c r="F186" s="6"/>
      <c r="G186" s="6"/>
      <c r="H186" s="6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>
      <c r="A187" s="1"/>
      <c r="B187" s="6"/>
      <c r="C187" s="6"/>
      <c r="D187" s="6"/>
      <c r="E187" s="6"/>
      <c r="F187" s="6"/>
      <c r="G187" s="6"/>
      <c r="H187" s="6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>
      <c r="A188" s="1"/>
      <c r="B188" s="6"/>
      <c r="C188" s="6"/>
      <c r="D188" s="6"/>
      <c r="E188" s="6"/>
      <c r="F188" s="6"/>
      <c r="G188" s="6"/>
      <c r="H188" s="6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>
      <c r="A189" s="1"/>
      <c r="B189" s="6"/>
      <c r="C189" s="6"/>
      <c r="D189" s="6"/>
      <c r="E189" s="6"/>
      <c r="F189" s="6"/>
      <c r="G189" s="6"/>
      <c r="H189" s="6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>
      <c r="A190" s="1"/>
      <c r="B190" s="6"/>
      <c r="C190" s="6"/>
      <c r="D190" s="6"/>
      <c r="E190" s="6"/>
      <c r="F190" s="6"/>
      <c r="G190" s="6"/>
      <c r="H190" s="6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>
      <c r="A191" s="1"/>
      <c r="B191" s="6"/>
      <c r="C191" s="6"/>
      <c r="D191" s="6"/>
      <c r="E191" s="6"/>
      <c r="F191" s="6"/>
      <c r="G191" s="6"/>
      <c r="H191" s="6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>
      <c r="A192" s="1"/>
      <c r="B192" s="6"/>
      <c r="C192" s="6"/>
      <c r="D192" s="6"/>
      <c r="E192" s="6"/>
      <c r="F192" s="6"/>
      <c r="G192" s="6"/>
      <c r="H192" s="6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>
      <c r="A193" s="1"/>
      <c r="B193" s="6"/>
      <c r="C193" s="6"/>
      <c r="D193" s="6"/>
      <c r="E193" s="6"/>
      <c r="F193" s="6"/>
      <c r="G193" s="6"/>
      <c r="H193" s="6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>
      <c r="A194" s="1"/>
      <c r="B194" s="6"/>
      <c r="C194" s="6"/>
      <c r="D194" s="6"/>
      <c r="E194" s="6"/>
      <c r="F194" s="6"/>
      <c r="G194" s="6"/>
      <c r="H194" s="6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>
      <c r="A195" s="1"/>
      <c r="B195" s="6"/>
      <c r="C195" s="6"/>
      <c r="D195" s="6"/>
      <c r="E195" s="6"/>
      <c r="F195" s="6"/>
      <c r="G195" s="6"/>
      <c r="H195" s="6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>
      <c r="A196" s="1"/>
      <c r="B196" s="6"/>
      <c r="C196" s="6"/>
      <c r="D196" s="6"/>
      <c r="E196" s="6"/>
      <c r="F196" s="6"/>
      <c r="G196" s="6"/>
      <c r="H196" s="6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>
      <c r="A197" s="1"/>
      <c r="B197" s="6"/>
      <c r="C197" s="6"/>
      <c r="D197" s="6"/>
      <c r="E197" s="6"/>
      <c r="F197" s="6"/>
      <c r="G197" s="6"/>
      <c r="H197" s="6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>
      <c r="A198" s="1"/>
      <c r="B198" s="6"/>
      <c r="C198" s="6"/>
      <c r="D198" s="6"/>
      <c r="E198" s="6"/>
      <c r="F198" s="6"/>
      <c r="G198" s="6"/>
      <c r="H198" s="6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>
      <c r="A199" s="1"/>
      <c r="B199" s="6"/>
      <c r="C199" s="6"/>
      <c r="D199" s="6"/>
      <c r="E199" s="6"/>
      <c r="F199" s="6"/>
      <c r="G199" s="6"/>
      <c r="H199" s="6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>
      <c r="A200" s="1"/>
      <c r="B200" s="6"/>
      <c r="C200" s="6"/>
      <c r="D200" s="6"/>
      <c r="E200" s="6"/>
      <c r="F200" s="6"/>
      <c r="G200" s="6"/>
      <c r="H200" s="6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>
      <c r="A201" s="1"/>
      <c r="B201" s="6"/>
      <c r="C201" s="6"/>
      <c r="D201" s="6"/>
      <c r="E201" s="6"/>
      <c r="F201" s="6"/>
      <c r="G201" s="6"/>
      <c r="H201" s="6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>
      <c r="A202" s="1"/>
      <c r="B202" s="6"/>
      <c r="C202" s="6"/>
      <c r="D202" s="6"/>
      <c r="E202" s="6"/>
      <c r="F202" s="6"/>
      <c r="G202" s="6"/>
      <c r="H202" s="6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>
      <c r="A203" s="1"/>
      <c r="B203" s="6"/>
      <c r="C203" s="6"/>
      <c r="D203" s="6"/>
      <c r="E203" s="6"/>
      <c r="F203" s="6"/>
      <c r="G203" s="6"/>
      <c r="H203" s="6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>
      <c r="A204" s="1"/>
      <c r="B204" s="6"/>
      <c r="C204" s="6"/>
      <c r="D204" s="6"/>
      <c r="E204" s="6"/>
      <c r="F204" s="6"/>
      <c r="G204" s="6"/>
      <c r="H204" s="6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>
      <c r="A205" s="1"/>
      <c r="B205" s="6"/>
      <c r="C205" s="6"/>
      <c r="D205" s="6"/>
      <c r="E205" s="6"/>
      <c r="F205" s="6"/>
      <c r="G205" s="6"/>
      <c r="H205" s="6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>
      <c r="A206" s="1"/>
      <c r="B206" s="6"/>
      <c r="C206" s="6"/>
      <c r="D206" s="6"/>
      <c r="E206" s="6"/>
      <c r="F206" s="6"/>
      <c r="G206" s="6"/>
      <c r="H206" s="6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>
      <c r="A207" s="1"/>
      <c r="B207" s="6"/>
      <c r="C207" s="6"/>
      <c r="D207" s="6"/>
      <c r="E207" s="6"/>
      <c r="F207" s="6"/>
      <c r="G207" s="6"/>
      <c r="H207" s="6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>
      <c r="A208" s="1"/>
      <c r="B208" s="6"/>
      <c r="C208" s="6"/>
      <c r="D208" s="6"/>
      <c r="E208" s="6"/>
      <c r="F208" s="6"/>
      <c r="G208" s="6"/>
      <c r="H208" s="6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>
      <c r="A209" s="1"/>
      <c r="B209" s="6"/>
      <c r="C209" s="6"/>
      <c r="D209" s="6"/>
      <c r="E209" s="6"/>
      <c r="F209" s="6"/>
      <c r="G209" s="6"/>
      <c r="H209" s="6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>
      <c r="A210" s="1"/>
      <c r="B210" s="6"/>
      <c r="C210" s="6"/>
      <c r="D210" s="6"/>
      <c r="E210" s="6"/>
      <c r="F210" s="6"/>
      <c r="G210" s="6"/>
      <c r="H210" s="6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>
      <c r="A211" s="1"/>
      <c r="B211" s="6"/>
      <c r="C211" s="6"/>
      <c r="D211" s="6"/>
      <c r="E211" s="6"/>
      <c r="F211" s="6"/>
      <c r="G211" s="6"/>
      <c r="H211" s="6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>
      <c r="A212" s="1"/>
      <c r="B212" s="6"/>
      <c r="C212" s="6"/>
      <c r="D212" s="6"/>
      <c r="E212" s="6"/>
      <c r="F212" s="6"/>
      <c r="G212" s="6"/>
      <c r="H212" s="6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>
      <c r="A213" s="1"/>
      <c r="B213" s="6"/>
      <c r="C213" s="6"/>
      <c r="D213" s="6"/>
      <c r="E213" s="6"/>
      <c r="F213" s="6"/>
      <c r="G213" s="6"/>
      <c r="H213" s="6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>
      <c r="A214" s="1"/>
      <c r="B214" s="6"/>
      <c r="C214" s="6"/>
      <c r="D214" s="6"/>
      <c r="E214" s="6"/>
      <c r="F214" s="6"/>
      <c r="G214" s="6"/>
      <c r="H214" s="6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>
      <c r="A215" s="1"/>
      <c r="B215" s="6"/>
      <c r="C215" s="6"/>
      <c r="D215" s="6"/>
      <c r="E215" s="6"/>
      <c r="F215" s="6"/>
      <c r="G215" s="6"/>
      <c r="H215" s="6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>
      <c r="A216" s="1"/>
      <c r="B216" s="6"/>
      <c r="C216" s="6"/>
      <c r="D216" s="6"/>
      <c r="E216" s="6"/>
      <c r="F216" s="6"/>
      <c r="G216" s="6"/>
      <c r="H216" s="6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>
      <c r="A217" s="1"/>
      <c r="B217" s="6"/>
      <c r="C217" s="6"/>
      <c r="D217" s="6"/>
      <c r="E217" s="6"/>
      <c r="F217" s="6"/>
      <c r="G217" s="6"/>
      <c r="H217" s="6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>
      <c r="A218" s="1"/>
      <c r="B218" s="6"/>
      <c r="C218" s="6"/>
      <c r="D218" s="6"/>
      <c r="E218" s="6"/>
      <c r="F218" s="6"/>
      <c r="G218" s="6"/>
      <c r="H218" s="6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>
      <c r="A219" s="1"/>
      <c r="B219" s="6"/>
      <c r="C219" s="6"/>
      <c r="D219" s="6"/>
      <c r="E219" s="6"/>
      <c r="F219" s="6"/>
      <c r="G219" s="6"/>
      <c r="H219" s="6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>
      <c r="A220" s="1"/>
      <c r="B220" s="6"/>
      <c r="C220" s="6"/>
      <c r="D220" s="6"/>
      <c r="E220" s="6"/>
      <c r="F220" s="6"/>
      <c r="G220" s="6"/>
      <c r="H220" s="6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>
      <c r="A221" s="1"/>
      <c r="B221" s="6"/>
      <c r="C221" s="6"/>
      <c r="D221" s="6"/>
      <c r="E221" s="6"/>
      <c r="F221" s="6"/>
      <c r="G221" s="6"/>
      <c r="H221" s="6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>
      <c r="A222" s="1"/>
      <c r="B222" s="6"/>
      <c r="C222" s="6"/>
      <c r="D222" s="6"/>
      <c r="E222" s="6"/>
      <c r="F222" s="6"/>
      <c r="G222" s="6"/>
      <c r="H222" s="6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>
      <c r="A223" s="1"/>
      <c r="B223" s="6"/>
      <c r="C223" s="6"/>
      <c r="D223" s="6"/>
      <c r="E223" s="6"/>
      <c r="F223" s="6"/>
      <c r="G223" s="6"/>
      <c r="H223" s="6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>
      <c r="A224" s="1"/>
      <c r="B224" s="6"/>
      <c r="C224" s="6"/>
      <c r="D224" s="6"/>
      <c r="E224" s="6"/>
      <c r="F224" s="6"/>
      <c r="G224" s="6"/>
      <c r="H224" s="6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>
      <c r="A225" s="1"/>
      <c r="B225" s="6"/>
      <c r="C225" s="6"/>
      <c r="D225" s="6"/>
      <c r="E225" s="6"/>
      <c r="F225" s="6"/>
      <c r="G225" s="6"/>
      <c r="H225" s="6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>
      <c r="A226" s="1"/>
      <c r="B226" s="6"/>
      <c r="C226" s="6"/>
      <c r="D226" s="6"/>
      <c r="E226" s="6"/>
      <c r="F226" s="6"/>
      <c r="G226" s="6"/>
      <c r="H226" s="6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>
      <c r="A227" s="1"/>
      <c r="B227" s="6"/>
      <c r="C227" s="6"/>
      <c r="D227" s="6"/>
      <c r="E227" s="6"/>
      <c r="F227" s="6"/>
      <c r="G227" s="6"/>
      <c r="H227" s="6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>
      <c r="A228" s="1"/>
      <c r="B228" s="6"/>
      <c r="C228" s="6"/>
      <c r="D228" s="6"/>
      <c r="E228" s="6"/>
      <c r="F228" s="6"/>
      <c r="G228" s="6"/>
      <c r="H228" s="6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>
      <c r="A229" s="1"/>
      <c r="B229" s="6"/>
      <c r="C229" s="6"/>
      <c r="D229" s="6"/>
      <c r="E229" s="6"/>
      <c r="F229" s="6"/>
      <c r="G229" s="6"/>
      <c r="H229" s="6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>
      <c r="A230" s="1"/>
      <c r="B230" s="6"/>
      <c r="C230" s="6"/>
      <c r="D230" s="6"/>
      <c r="E230" s="6"/>
      <c r="F230" s="6"/>
      <c r="G230" s="6"/>
      <c r="H230" s="6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>
      <c r="A231" s="1"/>
      <c r="B231" s="6"/>
      <c r="C231" s="6"/>
      <c r="D231" s="6"/>
      <c r="E231" s="6"/>
      <c r="F231" s="6"/>
      <c r="G231" s="6"/>
      <c r="H231" s="6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>
      <c r="A232" s="1"/>
      <c r="B232" s="6"/>
      <c r="C232" s="6"/>
      <c r="D232" s="6"/>
      <c r="E232" s="6"/>
      <c r="F232" s="6"/>
      <c r="G232" s="6"/>
      <c r="H232" s="6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>
      <c r="A233" s="1"/>
      <c r="B233" s="6"/>
      <c r="C233" s="6"/>
      <c r="D233" s="6"/>
      <c r="E233" s="6"/>
      <c r="F233" s="6"/>
      <c r="G233" s="6"/>
      <c r="H233" s="6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>
      <c r="A234" s="1"/>
      <c r="B234" s="6"/>
      <c r="C234" s="6"/>
      <c r="D234" s="6"/>
      <c r="E234" s="6"/>
      <c r="F234" s="6"/>
      <c r="G234" s="6"/>
      <c r="H234" s="6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>
      <c r="A235" s="1"/>
      <c r="B235" s="6"/>
      <c r="C235" s="6"/>
      <c r="D235" s="6"/>
      <c r="E235" s="6"/>
      <c r="F235" s="6"/>
      <c r="G235" s="6"/>
      <c r="H235" s="6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>
      <c r="A236" s="1"/>
      <c r="B236" s="6"/>
      <c r="C236" s="6"/>
      <c r="D236" s="6"/>
      <c r="E236" s="6"/>
      <c r="F236" s="6"/>
      <c r="G236" s="6"/>
      <c r="H236" s="6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>
      <c r="A237" s="1"/>
      <c r="B237" s="6"/>
      <c r="C237" s="6"/>
      <c r="D237" s="6"/>
      <c r="E237" s="6"/>
      <c r="F237" s="6"/>
      <c r="G237" s="6"/>
      <c r="H237" s="6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>
      <c r="A238" s="1"/>
      <c r="B238" s="6"/>
      <c r="C238" s="6"/>
      <c r="D238" s="6"/>
      <c r="E238" s="6"/>
      <c r="F238" s="6"/>
      <c r="G238" s="6"/>
      <c r="H238" s="6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>
      <c r="A239" s="1"/>
      <c r="B239" s="6"/>
      <c r="C239" s="6"/>
      <c r="D239" s="6"/>
      <c r="E239" s="6"/>
      <c r="F239" s="6"/>
      <c r="G239" s="6"/>
      <c r="H239" s="6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>
      <c r="A240" s="1"/>
      <c r="B240" s="6"/>
      <c r="C240" s="6"/>
      <c r="D240" s="6"/>
      <c r="E240" s="6"/>
      <c r="F240" s="6"/>
      <c r="G240" s="6"/>
      <c r="H240" s="6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>
      <c r="A241" s="1"/>
      <c r="B241" s="6"/>
      <c r="C241" s="6"/>
      <c r="D241" s="6"/>
      <c r="E241" s="6"/>
      <c r="F241" s="6"/>
      <c r="G241" s="6"/>
      <c r="H241" s="6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>
      <c r="A242" s="1"/>
      <c r="B242" s="6"/>
      <c r="C242" s="6"/>
      <c r="D242" s="6"/>
      <c r="E242" s="6"/>
      <c r="F242" s="6"/>
      <c r="G242" s="6"/>
      <c r="H242" s="6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>
      <c r="A243" s="1"/>
      <c r="B243" s="6"/>
      <c r="C243" s="6"/>
      <c r="D243" s="6"/>
      <c r="E243" s="6"/>
      <c r="F243" s="6"/>
      <c r="G243" s="6"/>
      <c r="H243" s="6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>
      <c r="A244" s="1"/>
      <c r="B244" s="6"/>
      <c r="C244" s="6"/>
      <c r="D244" s="6"/>
      <c r="E244" s="6"/>
      <c r="F244" s="6"/>
      <c r="G244" s="6"/>
      <c r="H244" s="6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>
      <c r="A245" s="1"/>
      <c r="B245" s="6"/>
      <c r="C245" s="6"/>
      <c r="D245" s="6"/>
      <c r="E245" s="6"/>
      <c r="F245" s="6"/>
      <c r="G245" s="6"/>
      <c r="H245" s="6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>
      <c r="A246" s="1"/>
      <c r="B246" s="6"/>
      <c r="C246" s="6"/>
      <c r="D246" s="6"/>
      <c r="E246" s="6"/>
      <c r="F246" s="6"/>
      <c r="G246" s="6"/>
      <c r="H246" s="6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>
      <c r="A247" s="1"/>
      <c r="B247" s="6"/>
      <c r="C247" s="6"/>
      <c r="D247" s="6"/>
      <c r="E247" s="6"/>
      <c r="F247" s="6"/>
      <c r="G247" s="6"/>
      <c r="H247" s="6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>
      <c r="A248" s="1"/>
      <c r="B248" s="6"/>
      <c r="C248" s="6"/>
      <c r="D248" s="6"/>
      <c r="E248" s="6"/>
      <c r="F248" s="6"/>
      <c r="G248" s="6"/>
      <c r="H248" s="6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>
      <c r="A249" s="1"/>
      <c r="B249" s="6"/>
      <c r="C249" s="6"/>
      <c r="D249" s="6"/>
      <c r="E249" s="6"/>
      <c r="F249" s="6"/>
      <c r="G249" s="6"/>
      <c r="H249" s="6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>
      <c r="A250" s="1"/>
      <c r="B250" s="6"/>
      <c r="C250" s="6"/>
      <c r="D250" s="6"/>
      <c r="E250" s="6"/>
      <c r="F250" s="6"/>
      <c r="G250" s="6"/>
      <c r="H250" s="6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>
      <c r="A251" s="1"/>
      <c r="B251" s="6"/>
      <c r="C251" s="6"/>
      <c r="D251" s="6"/>
      <c r="E251" s="6"/>
      <c r="F251" s="6"/>
      <c r="G251" s="6"/>
      <c r="H251" s="6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>
      <c r="A252" s="1"/>
      <c r="B252" s="6"/>
      <c r="C252" s="6"/>
      <c r="D252" s="6"/>
      <c r="E252" s="6"/>
      <c r="F252" s="6"/>
      <c r="G252" s="6"/>
      <c r="H252" s="6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>
      <c r="A253" s="1"/>
      <c r="B253" s="6"/>
      <c r="C253" s="6"/>
      <c r="D253" s="6"/>
      <c r="E253" s="6"/>
      <c r="F253" s="6"/>
      <c r="G253" s="6"/>
      <c r="H253" s="6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>
      <c r="A254" s="1"/>
      <c r="B254" s="6"/>
      <c r="C254" s="6"/>
      <c r="D254" s="6"/>
      <c r="E254" s="6"/>
      <c r="F254" s="6"/>
      <c r="G254" s="6"/>
      <c r="H254" s="6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>
      <c r="A255" s="1"/>
      <c r="B255" s="6"/>
      <c r="C255" s="6"/>
      <c r="D255" s="6"/>
      <c r="E255" s="6"/>
      <c r="F255" s="6"/>
      <c r="G255" s="6"/>
      <c r="H255" s="6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>
      <c r="A256" s="1"/>
      <c r="B256" s="6"/>
      <c r="C256" s="6"/>
      <c r="D256" s="6"/>
      <c r="E256" s="6"/>
      <c r="F256" s="6"/>
      <c r="G256" s="6"/>
      <c r="H256" s="6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>
      <c r="A257" s="1"/>
      <c r="B257" s="6"/>
      <c r="C257" s="6"/>
      <c r="D257" s="6"/>
      <c r="E257" s="6"/>
      <c r="F257" s="6"/>
      <c r="G257" s="6"/>
      <c r="H257" s="6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>
      <c r="A258" s="1"/>
      <c r="B258" s="6"/>
      <c r="C258" s="6"/>
      <c r="D258" s="6"/>
      <c r="E258" s="6"/>
      <c r="F258" s="6"/>
      <c r="G258" s="6"/>
      <c r="H258" s="6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>
      <c r="A259" s="1"/>
      <c r="B259" s="6"/>
      <c r="C259" s="6"/>
      <c r="D259" s="6"/>
      <c r="E259" s="6"/>
      <c r="F259" s="6"/>
      <c r="G259" s="6"/>
      <c r="H259" s="6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>
      <c r="A260" s="1"/>
      <c r="B260" s="6"/>
      <c r="C260" s="6"/>
      <c r="D260" s="6"/>
      <c r="E260" s="6"/>
      <c r="F260" s="6"/>
      <c r="G260" s="6"/>
      <c r="H260" s="6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>
      <c r="A261" s="1"/>
      <c r="B261" s="6"/>
      <c r="C261" s="6"/>
      <c r="D261" s="6"/>
      <c r="E261" s="6"/>
      <c r="F261" s="6"/>
      <c r="G261" s="6"/>
      <c r="H261" s="6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>
      <c r="A262" s="1"/>
      <c r="B262" s="6"/>
      <c r="C262" s="6"/>
      <c r="D262" s="6"/>
      <c r="E262" s="6"/>
      <c r="F262" s="6"/>
      <c r="G262" s="6"/>
      <c r="H262" s="6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>
      <c r="A263" s="1"/>
      <c r="B263" s="6"/>
      <c r="C263" s="6"/>
      <c r="D263" s="6"/>
      <c r="E263" s="6"/>
      <c r="F263" s="6"/>
      <c r="G263" s="6"/>
      <c r="H263" s="6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>
      <c r="A264" s="1"/>
      <c r="B264" s="6"/>
      <c r="C264" s="6"/>
      <c r="D264" s="6"/>
      <c r="E264" s="6"/>
      <c r="F264" s="6"/>
      <c r="G264" s="6"/>
      <c r="H264" s="6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>
      <c r="A265" s="1"/>
      <c r="B265" s="6"/>
      <c r="C265" s="6"/>
      <c r="D265" s="6"/>
      <c r="E265" s="6"/>
      <c r="F265" s="6"/>
      <c r="G265" s="6"/>
      <c r="H265" s="6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>
      <c r="A266" s="1"/>
      <c r="B266" s="6"/>
      <c r="C266" s="6"/>
      <c r="D266" s="6"/>
      <c r="E266" s="6"/>
      <c r="F266" s="6"/>
      <c r="G266" s="6"/>
      <c r="H266" s="6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>
      <c r="A267" s="1"/>
      <c r="B267" s="6"/>
      <c r="C267" s="6"/>
      <c r="D267" s="6"/>
      <c r="E267" s="6"/>
      <c r="F267" s="6"/>
      <c r="G267" s="6"/>
      <c r="H267" s="6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>
      <c r="A268" s="1"/>
      <c r="B268" s="6"/>
      <c r="C268" s="6"/>
      <c r="D268" s="6"/>
      <c r="E268" s="6"/>
      <c r="F268" s="6"/>
      <c r="G268" s="6"/>
      <c r="H268" s="6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>
      <c r="A269" s="1"/>
      <c r="B269" s="6"/>
      <c r="C269" s="6"/>
      <c r="D269" s="6"/>
      <c r="E269" s="6"/>
      <c r="F269" s="6"/>
      <c r="G269" s="6"/>
      <c r="H269" s="6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>
      <c r="A270" s="1"/>
      <c r="B270" s="6"/>
      <c r="C270" s="6"/>
      <c r="D270" s="6"/>
      <c r="E270" s="6"/>
      <c r="F270" s="6"/>
      <c r="G270" s="6"/>
      <c r="H270" s="6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>
      <c r="A271" s="1"/>
      <c r="B271" s="6"/>
      <c r="C271" s="6"/>
      <c r="D271" s="6"/>
      <c r="E271" s="6"/>
      <c r="F271" s="6"/>
      <c r="G271" s="6"/>
      <c r="H271" s="6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>
      <c r="A272" s="1"/>
      <c r="B272" s="6"/>
      <c r="C272" s="6"/>
      <c r="D272" s="6"/>
      <c r="E272" s="6"/>
      <c r="F272" s="6"/>
      <c r="G272" s="6"/>
      <c r="H272" s="6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>
      <c r="A273" s="1"/>
      <c r="B273" s="6"/>
      <c r="C273" s="6"/>
      <c r="D273" s="6"/>
      <c r="E273" s="6"/>
      <c r="F273" s="6"/>
      <c r="G273" s="6"/>
      <c r="H273" s="6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>
      <c r="A274" s="1"/>
      <c r="B274" s="6"/>
      <c r="C274" s="6"/>
      <c r="D274" s="6"/>
      <c r="E274" s="6"/>
      <c r="F274" s="6"/>
      <c r="G274" s="6"/>
      <c r="H274" s="6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>
      <c r="A275" s="1"/>
      <c r="B275" s="6"/>
      <c r="C275" s="6"/>
      <c r="D275" s="6"/>
      <c r="E275" s="6"/>
      <c r="F275" s="6"/>
      <c r="G275" s="6"/>
      <c r="H275" s="6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>
      <c r="A276" s="1"/>
      <c r="B276" s="6"/>
      <c r="C276" s="6"/>
      <c r="D276" s="6"/>
      <c r="E276" s="6"/>
      <c r="F276" s="6"/>
      <c r="G276" s="6"/>
      <c r="H276" s="6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>
      <c r="A277" s="1"/>
      <c r="B277" s="6"/>
      <c r="C277" s="6"/>
      <c r="D277" s="6"/>
      <c r="E277" s="6"/>
      <c r="F277" s="6"/>
      <c r="G277" s="6"/>
      <c r="H277" s="6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>
      <c r="A278" s="1"/>
      <c r="B278" s="6"/>
      <c r="C278" s="6"/>
      <c r="D278" s="6"/>
      <c r="E278" s="6"/>
      <c r="F278" s="6"/>
      <c r="G278" s="6"/>
      <c r="H278" s="6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>
      <c r="A279" s="1"/>
      <c r="B279" s="6"/>
      <c r="C279" s="6"/>
      <c r="D279" s="6"/>
      <c r="E279" s="6"/>
      <c r="F279" s="6"/>
      <c r="G279" s="6"/>
      <c r="H279" s="6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>
      <c r="A280" s="1"/>
      <c r="B280" s="6"/>
      <c r="C280" s="6"/>
      <c r="D280" s="6"/>
      <c r="E280" s="6"/>
      <c r="F280" s="6"/>
      <c r="G280" s="6"/>
      <c r="H280" s="6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>
      <c r="A281" s="1"/>
      <c r="B281" s="6"/>
      <c r="C281" s="6"/>
      <c r="D281" s="6"/>
      <c r="E281" s="6"/>
      <c r="F281" s="6"/>
      <c r="G281" s="6"/>
      <c r="H281" s="6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>
      <c r="A282" s="1"/>
      <c r="B282" s="6"/>
      <c r="C282" s="6"/>
      <c r="D282" s="6"/>
      <c r="E282" s="6"/>
      <c r="F282" s="6"/>
      <c r="G282" s="6"/>
      <c r="H282" s="6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>
      <c r="A283" s="1"/>
      <c r="B283" s="6"/>
      <c r="C283" s="6"/>
      <c r="D283" s="6"/>
      <c r="E283" s="6"/>
      <c r="F283" s="6"/>
      <c r="G283" s="6"/>
      <c r="H283" s="6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>
      <c r="A284" s="1"/>
      <c r="B284" s="6"/>
      <c r="C284" s="6"/>
      <c r="D284" s="6"/>
      <c r="E284" s="6"/>
      <c r="F284" s="6"/>
      <c r="G284" s="6"/>
      <c r="H284" s="6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>
      <c r="A285" s="1"/>
      <c r="B285" s="6"/>
      <c r="C285" s="6"/>
      <c r="D285" s="6"/>
      <c r="E285" s="6"/>
      <c r="F285" s="6"/>
      <c r="G285" s="6"/>
      <c r="H285" s="6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>
      <c r="A286" s="1"/>
      <c r="B286" s="6"/>
      <c r="C286" s="6"/>
      <c r="D286" s="6"/>
      <c r="E286" s="6"/>
      <c r="F286" s="6"/>
      <c r="G286" s="6"/>
      <c r="H286" s="6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>
      <c r="A287" s="1"/>
      <c r="B287" s="6"/>
      <c r="C287" s="6"/>
      <c r="D287" s="6"/>
      <c r="E287" s="6"/>
      <c r="F287" s="6"/>
      <c r="G287" s="6"/>
      <c r="H287" s="6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>
      <c r="A288" s="1"/>
      <c r="B288" s="6"/>
      <c r="C288" s="6"/>
      <c r="D288" s="6"/>
      <c r="E288" s="6"/>
      <c r="F288" s="6"/>
      <c r="G288" s="6"/>
      <c r="H288" s="6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>
      <c r="A289" s="1"/>
      <c r="B289" s="6"/>
      <c r="C289" s="6"/>
      <c r="D289" s="6"/>
      <c r="E289" s="6"/>
      <c r="F289" s="6"/>
      <c r="G289" s="6"/>
      <c r="H289" s="6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>
      <c r="A290" s="1"/>
      <c r="B290" s="6"/>
      <c r="C290" s="6"/>
      <c r="D290" s="6"/>
      <c r="E290" s="6"/>
      <c r="F290" s="6"/>
      <c r="G290" s="6"/>
      <c r="H290" s="6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>
      <c r="A291" s="1"/>
      <c r="B291" s="6"/>
      <c r="C291" s="6"/>
      <c r="D291" s="6"/>
      <c r="E291" s="6"/>
      <c r="F291" s="6"/>
      <c r="G291" s="6"/>
      <c r="H291" s="6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>
      <c r="A292" s="1"/>
      <c r="B292" s="6"/>
      <c r="C292" s="6"/>
      <c r="D292" s="6"/>
      <c r="E292" s="6"/>
      <c r="F292" s="6"/>
      <c r="G292" s="6"/>
      <c r="H292" s="6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>
      <c r="A293" s="1"/>
      <c r="B293" s="6"/>
      <c r="C293" s="6"/>
      <c r="D293" s="6"/>
      <c r="E293" s="6"/>
      <c r="F293" s="6"/>
      <c r="G293" s="6"/>
      <c r="H293" s="6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>
      <c r="A294" s="1"/>
      <c r="B294" s="6"/>
      <c r="C294" s="6"/>
      <c r="D294" s="6"/>
      <c r="E294" s="6"/>
      <c r="F294" s="6"/>
      <c r="G294" s="6"/>
      <c r="H294" s="6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>
      <c r="A295" s="1"/>
      <c r="B295" s="6"/>
      <c r="C295" s="6"/>
      <c r="D295" s="6"/>
      <c r="E295" s="6"/>
      <c r="F295" s="6"/>
      <c r="G295" s="6"/>
      <c r="H295" s="6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>
      <c r="A296" s="1"/>
      <c r="B296" s="6"/>
      <c r="C296" s="6"/>
      <c r="D296" s="6"/>
      <c r="E296" s="6"/>
      <c r="F296" s="6"/>
      <c r="G296" s="6"/>
      <c r="H296" s="6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>
      <c r="A297" s="1"/>
      <c r="B297" s="6"/>
      <c r="C297" s="6"/>
      <c r="D297" s="6"/>
      <c r="E297" s="6"/>
      <c r="F297" s="6"/>
      <c r="G297" s="6"/>
      <c r="H297" s="6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>
      <c r="A298" s="1"/>
      <c r="B298" s="6"/>
      <c r="C298" s="6"/>
      <c r="D298" s="6"/>
      <c r="E298" s="6"/>
      <c r="F298" s="6"/>
      <c r="G298" s="6"/>
      <c r="H298" s="6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>
      <c r="A299" s="1"/>
      <c r="B299" s="6"/>
      <c r="C299" s="6"/>
      <c r="D299" s="6"/>
      <c r="E299" s="6"/>
      <c r="F299" s="6"/>
      <c r="G299" s="6"/>
      <c r="H299" s="6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>
      <c r="A300" s="1"/>
      <c r="B300" s="6"/>
      <c r="C300" s="6"/>
      <c r="D300" s="6"/>
      <c r="E300" s="6"/>
      <c r="F300" s="6"/>
      <c r="G300" s="6"/>
      <c r="H300" s="6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>
      <c r="A301" s="1"/>
      <c r="B301" s="6"/>
      <c r="C301" s="6"/>
      <c r="D301" s="6"/>
      <c r="E301" s="6"/>
      <c r="F301" s="6"/>
      <c r="G301" s="6"/>
      <c r="H301" s="6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>
      <c r="A302" s="1"/>
      <c r="B302" s="6"/>
      <c r="C302" s="6"/>
      <c r="D302" s="6"/>
      <c r="E302" s="6"/>
      <c r="F302" s="6"/>
      <c r="G302" s="6"/>
      <c r="H302" s="6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>
      <c r="A303" s="1"/>
      <c r="B303" s="6"/>
      <c r="C303" s="6"/>
      <c r="D303" s="6"/>
      <c r="E303" s="6"/>
      <c r="F303" s="6"/>
      <c r="G303" s="6"/>
      <c r="H303" s="6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>
      <c r="A304" s="1"/>
      <c r="B304" s="6"/>
      <c r="C304" s="6"/>
      <c r="D304" s="6"/>
      <c r="E304" s="6"/>
      <c r="F304" s="6"/>
      <c r="G304" s="6"/>
      <c r="H304" s="6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>
      <c r="A305" s="1"/>
      <c r="B305" s="6"/>
      <c r="C305" s="6"/>
      <c r="D305" s="6"/>
      <c r="E305" s="6"/>
      <c r="F305" s="6"/>
      <c r="G305" s="6"/>
      <c r="H305" s="6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>
      <c r="A306" s="1"/>
      <c r="B306" s="6"/>
      <c r="C306" s="6"/>
      <c r="D306" s="6"/>
      <c r="E306" s="6"/>
      <c r="F306" s="6"/>
      <c r="G306" s="6"/>
      <c r="H306" s="6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>
      <c r="A307" s="1"/>
      <c r="B307" s="6"/>
      <c r="C307" s="6"/>
      <c r="D307" s="6"/>
      <c r="E307" s="6"/>
      <c r="F307" s="6"/>
      <c r="G307" s="6"/>
      <c r="H307" s="6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>
      <c r="A308" s="1"/>
      <c r="B308" s="6"/>
      <c r="C308" s="6"/>
      <c r="D308" s="6"/>
      <c r="E308" s="6"/>
      <c r="F308" s="6"/>
      <c r="G308" s="6"/>
      <c r="H308" s="6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>
      <c r="A309" s="1"/>
      <c r="B309" s="6"/>
      <c r="C309" s="6"/>
      <c r="D309" s="6"/>
      <c r="E309" s="6"/>
      <c r="F309" s="6"/>
      <c r="G309" s="6"/>
      <c r="H309" s="6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>
      <c r="A310" s="1"/>
      <c r="B310" s="6"/>
      <c r="C310" s="6"/>
      <c r="D310" s="6"/>
      <c r="E310" s="6"/>
      <c r="F310" s="6"/>
      <c r="G310" s="6"/>
      <c r="H310" s="6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>
      <c r="A311" s="1"/>
      <c r="B311" s="6"/>
      <c r="C311" s="6"/>
      <c r="D311" s="6"/>
      <c r="E311" s="6"/>
      <c r="F311" s="6"/>
      <c r="G311" s="6"/>
      <c r="H311" s="6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>
      <c r="A312" s="1"/>
      <c r="B312" s="6"/>
      <c r="C312" s="6"/>
      <c r="D312" s="6"/>
      <c r="E312" s="6"/>
      <c r="F312" s="6"/>
      <c r="G312" s="6"/>
      <c r="H312" s="6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>
      <c r="A313" s="1"/>
      <c r="B313" s="6"/>
      <c r="C313" s="6"/>
      <c r="D313" s="6"/>
      <c r="E313" s="6"/>
      <c r="F313" s="6"/>
      <c r="G313" s="6"/>
      <c r="H313" s="6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>
      <c r="A314" s="1"/>
      <c r="B314" s="6"/>
      <c r="C314" s="6"/>
      <c r="D314" s="6"/>
      <c r="E314" s="6"/>
      <c r="F314" s="6"/>
      <c r="G314" s="6"/>
      <c r="H314" s="6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>
      <c r="A315" s="1"/>
      <c r="B315" s="6"/>
      <c r="C315" s="6"/>
      <c r="D315" s="6"/>
      <c r="E315" s="6"/>
      <c r="F315" s="6"/>
      <c r="G315" s="6"/>
      <c r="H315" s="6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>
      <c r="A316" s="1"/>
      <c r="B316" s="6"/>
      <c r="C316" s="6"/>
      <c r="D316" s="6"/>
      <c r="E316" s="6"/>
      <c r="F316" s="6"/>
      <c r="G316" s="6"/>
      <c r="H316" s="6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>
      <c r="A317" s="1"/>
      <c r="B317" s="6"/>
      <c r="C317" s="6"/>
      <c r="D317" s="6"/>
      <c r="E317" s="6"/>
      <c r="F317" s="6"/>
      <c r="G317" s="6"/>
      <c r="H317" s="6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>
      <c r="A318" s="1"/>
      <c r="B318" s="6"/>
      <c r="C318" s="6"/>
      <c r="D318" s="6"/>
      <c r="E318" s="6"/>
      <c r="F318" s="6"/>
      <c r="G318" s="6"/>
      <c r="H318" s="6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>
      <c r="A319" s="1"/>
      <c r="B319" s="6"/>
      <c r="C319" s="6"/>
      <c r="D319" s="6"/>
      <c r="E319" s="6"/>
      <c r="F319" s="6"/>
      <c r="G319" s="6"/>
      <c r="H319" s="6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>
      <c r="A320" s="1"/>
      <c r="B320" s="6"/>
      <c r="C320" s="6"/>
      <c r="D320" s="6"/>
      <c r="E320" s="6"/>
      <c r="F320" s="6"/>
      <c r="G320" s="6"/>
      <c r="H320" s="6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>
      <c r="A321" s="1"/>
      <c r="B321" s="6"/>
      <c r="C321" s="6"/>
      <c r="D321" s="6"/>
      <c r="E321" s="6"/>
      <c r="F321" s="6"/>
      <c r="G321" s="6"/>
      <c r="H321" s="6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>
      <c r="A322" s="1"/>
      <c r="B322" s="6"/>
      <c r="C322" s="6"/>
      <c r="D322" s="6"/>
      <c r="E322" s="6"/>
      <c r="F322" s="6"/>
      <c r="G322" s="6"/>
      <c r="H322" s="6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>
      <c r="A323" s="1"/>
      <c r="B323" s="6"/>
      <c r="C323" s="6"/>
      <c r="D323" s="6"/>
      <c r="E323" s="6"/>
      <c r="F323" s="6"/>
      <c r="G323" s="6"/>
      <c r="H323" s="6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>
      <c r="A324" s="1"/>
      <c r="B324" s="6"/>
      <c r="C324" s="6"/>
      <c r="D324" s="6"/>
      <c r="E324" s="6"/>
      <c r="F324" s="6"/>
      <c r="G324" s="6"/>
      <c r="H324" s="6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>
      <c r="A325" s="1"/>
      <c r="B325" s="6"/>
      <c r="C325" s="6"/>
      <c r="D325" s="6"/>
      <c r="E325" s="6"/>
      <c r="F325" s="6"/>
      <c r="G325" s="6"/>
      <c r="H325" s="6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>
      <c r="A326" s="1"/>
      <c r="B326" s="6"/>
      <c r="C326" s="6"/>
      <c r="D326" s="6"/>
      <c r="E326" s="6"/>
      <c r="F326" s="6"/>
      <c r="G326" s="6"/>
      <c r="H326" s="6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>
      <c r="A327" s="1"/>
      <c r="B327" s="6"/>
      <c r="C327" s="6"/>
      <c r="D327" s="6"/>
      <c r="E327" s="6"/>
      <c r="F327" s="6"/>
      <c r="G327" s="6"/>
      <c r="H327" s="6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>
      <c r="A328" s="1"/>
      <c r="B328" s="6"/>
      <c r="C328" s="6"/>
      <c r="D328" s="6"/>
      <c r="E328" s="6"/>
      <c r="F328" s="6"/>
      <c r="G328" s="6"/>
      <c r="H328" s="6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>
      <c r="A329" s="1"/>
      <c r="B329" s="6"/>
      <c r="C329" s="6"/>
      <c r="D329" s="6"/>
      <c r="E329" s="6"/>
      <c r="F329" s="6"/>
      <c r="G329" s="6"/>
      <c r="H329" s="6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>
      <c r="A330" s="1"/>
      <c r="B330" s="6"/>
      <c r="C330" s="6"/>
      <c r="D330" s="6"/>
      <c r="E330" s="6"/>
      <c r="F330" s="6"/>
      <c r="G330" s="6"/>
      <c r="H330" s="6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>
      <c r="A331" s="1"/>
      <c r="B331" s="6"/>
      <c r="C331" s="6"/>
      <c r="D331" s="6"/>
      <c r="E331" s="6"/>
      <c r="F331" s="6"/>
      <c r="G331" s="6"/>
      <c r="H331" s="6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>
      <c r="A332" s="1"/>
      <c r="B332" s="6"/>
      <c r="C332" s="6"/>
      <c r="D332" s="6"/>
      <c r="E332" s="6"/>
      <c r="F332" s="6"/>
      <c r="G332" s="6"/>
      <c r="H332" s="6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>
      <c r="A333" s="1"/>
      <c r="B333" s="6"/>
      <c r="C333" s="6"/>
      <c r="D333" s="6"/>
      <c r="E333" s="6"/>
      <c r="F333" s="6"/>
      <c r="G333" s="6"/>
      <c r="H333" s="6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>
      <c r="A334" s="1"/>
      <c r="B334" s="6"/>
      <c r="C334" s="6"/>
      <c r="D334" s="6"/>
      <c r="E334" s="6"/>
      <c r="F334" s="6"/>
      <c r="G334" s="6"/>
      <c r="H334" s="6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>
      <c r="A335" s="1"/>
      <c r="B335" s="6"/>
      <c r="C335" s="6"/>
      <c r="D335" s="6"/>
      <c r="E335" s="6"/>
      <c r="F335" s="6"/>
      <c r="G335" s="6"/>
      <c r="H335" s="6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>
      <c r="A336" s="1"/>
      <c r="B336" s="6"/>
      <c r="C336" s="6"/>
      <c r="D336" s="6"/>
      <c r="E336" s="6"/>
      <c r="F336" s="6"/>
      <c r="G336" s="6"/>
      <c r="H336" s="6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>
      <c r="A337" s="1"/>
      <c r="B337" s="6"/>
      <c r="C337" s="6"/>
      <c r="D337" s="6"/>
      <c r="E337" s="6"/>
      <c r="F337" s="6"/>
      <c r="G337" s="6"/>
      <c r="H337" s="6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>
      <c r="A338" s="1"/>
      <c r="B338" s="6"/>
      <c r="C338" s="6"/>
      <c r="D338" s="6"/>
      <c r="E338" s="6"/>
      <c r="F338" s="6"/>
      <c r="G338" s="6"/>
      <c r="H338" s="6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>
      <c r="A339" s="1"/>
      <c r="B339" s="6"/>
      <c r="C339" s="6"/>
      <c r="D339" s="6"/>
      <c r="E339" s="6"/>
      <c r="F339" s="6"/>
      <c r="G339" s="6"/>
      <c r="H339" s="6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>
      <c r="A340" s="1"/>
      <c r="B340" s="6"/>
      <c r="C340" s="6"/>
      <c r="D340" s="6"/>
      <c r="E340" s="6"/>
      <c r="F340" s="6"/>
      <c r="G340" s="6"/>
      <c r="H340" s="6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>
      <c r="A341" s="1"/>
      <c r="B341" s="6"/>
      <c r="C341" s="6"/>
      <c r="D341" s="6"/>
      <c r="E341" s="6"/>
      <c r="F341" s="6"/>
      <c r="G341" s="6"/>
      <c r="H341" s="6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>
      <c r="A342" s="1"/>
      <c r="B342" s="6"/>
      <c r="C342" s="6"/>
      <c r="D342" s="6"/>
      <c r="E342" s="6"/>
      <c r="F342" s="6"/>
      <c r="G342" s="6"/>
      <c r="H342" s="6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>
      <c r="A343" s="1"/>
      <c r="B343" s="6"/>
      <c r="C343" s="6"/>
      <c r="D343" s="6"/>
      <c r="E343" s="6"/>
      <c r="F343" s="6"/>
      <c r="G343" s="6"/>
      <c r="H343" s="6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>
      <c r="A344" s="1"/>
      <c r="B344" s="6"/>
      <c r="C344" s="6"/>
      <c r="D344" s="6"/>
      <c r="E344" s="6"/>
      <c r="F344" s="6"/>
      <c r="G344" s="6"/>
      <c r="H344" s="6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>
      <c r="A345" s="1"/>
      <c r="B345" s="6"/>
      <c r="C345" s="6"/>
      <c r="D345" s="6"/>
      <c r="E345" s="6"/>
      <c r="F345" s="6"/>
      <c r="G345" s="6"/>
      <c r="H345" s="6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>
      <c r="A346" s="1"/>
      <c r="B346" s="6"/>
      <c r="C346" s="6"/>
      <c r="D346" s="6"/>
      <c r="E346" s="6"/>
      <c r="F346" s="6"/>
      <c r="G346" s="6"/>
      <c r="H346" s="6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>
      <c r="A347" s="1"/>
      <c r="B347" s="6"/>
      <c r="C347" s="6"/>
      <c r="D347" s="6"/>
      <c r="E347" s="6"/>
      <c r="F347" s="6"/>
      <c r="G347" s="6"/>
      <c r="H347" s="6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>
      <c r="A348" s="1"/>
      <c r="B348" s="6"/>
      <c r="C348" s="6"/>
      <c r="D348" s="6"/>
      <c r="E348" s="6"/>
      <c r="F348" s="6"/>
      <c r="G348" s="6"/>
      <c r="H348" s="6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>
      <c r="A349" s="1"/>
      <c r="B349" s="6"/>
      <c r="C349" s="6"/>
      <c r="D349" s="6"/>
      <c r="E349" s="6"/>
      <c r="F349" s="6"/>
      <c r="G349" s="6"/>
      <c r="H349" s="6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>
      <c r="A350" s="1"/>
      <c r="B350" s="6"/>
      <c r="C350" s="6"/>
      <c r="D350" s="6"/>
      <c r="E350" s="6"/>
      <c r="F350" s="6"/>
      <c r="G350" s="6"/>
      <c r="H350" s="6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>
      <c r="A351" s="1"/>
      <c r="B351" s="6"/>
      <c r="C351" s="6"/>
      <c r="D351" s="6"/>
      <c r="E351" s="6"/>
      <c r="F351" s="6"/>
      <c r="G351" s="6"/>
      <c r="H351" s="6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>
      <c r="A352" s="1"/>
      <c r="B352" s="6"/>
      <c r="C352" s="6"/>
      <c r="D352" s="6"/>
      <c r="E352" s="6"/>
      <c r="F352" s="6"/>
      <c r="G352" s="6"/>
      <c r="H352" s="6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>
      <c r="A353" s="1"/>
      <c r="B353" s="6"/>
      <c r="C353" s="6"/>
      <c r="D353" s="6"/>
      <c r="E353" s="6"/>
      <c r="F353" s="6"/>
      <c r="G353" s="6"/>
      <c r="H353" s="6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>
      <c r="A354" s="1"/>
      <c r="B354" s="6"/>
      <c r="C354" s="6"/>
      <c r="D354" s="6"/>
      <c r="E354" s="6"/>
      <c r="F354" s="6"/>
      <c r="G354" s="6"/>
      <c r="H354" s="6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>
      <c r="A355" s="1"/>
      <c r="B355" s="6"/>
      <c r="C355" s="6"/>
      <c r="D355" s="6"/>
      <c r="E355" s="6"/>
      <c r="F355" s="6"/>
      <c r="G355" s="6"/>
      <c r="H355" s="6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>
      <c r="A356" s="1"/>
      <c r="B356" s="6"/>
      <c r="C356" s="6"/>
      <c r="D356" s="6"/>
      <c r="E356" s="6"/>
      <c r="F356" s="6"/>
      <c r="G356" s="6"/>
      <c r="H356" s="6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>
      <c r="A357" s="1"/>
      <c r="B357" s="6"/>
      <c r="C357" s="6"/>
      <c r="D357" s="6"/>
      <c r="E357" s="6"/>
      <c r="F357" s="6"/>
      <c r="G357" s="6"/>
      <c r="H357" s="6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>
      <c r="A358" s="1"/>
      <c r="B358" s="6"/>
      <c r="C358" s="6"/>
      <c r="D358" s="6"/>
      <c r="E358" s="6"/>
      <c r="F358" s="6"/>
      <c r="G358" s="6"/>
      <c r="H358" s="6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>
      <c r="A359" s="1"/>
      <c r="B359" s="6"/>
      <c r="C359" s="6"/>
      <c r="D359" s="6"/>
      <c r="E359" s="6"/>
      <c r="F359" s="6"/>
      <c r="G359" s="6"/>
      <c r="H359" s="6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>
      <c r="A360" s="1"/>
      <c r="B360" s="6"/>
      <c r="C360" s="6"/>
      <c r="D360" s="6"/>
      <c r="E360" s="6"/>
      <c r="F360" s="6"/>
      <c r="G360" s="6"/>
      <c r="H360" s="6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>
      <c r="A361" s="1"/>
      <c r="B361" s="6"/>
      <c r="C361" s="6"/>
      <c r="D361" s="6"/>
      <c r="E361" s="6"/>
      <c r="F361" s="6"/>
      <c r="G361" s="6"/>
      <c r="H361" s="6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>
      <c r="A362" s="1"/>
      <c r="B362" s="6"/>
      <c r="C362" s="6"/>
      <c r="D362" s="6"/>
      <c r="E362" s="6"/>
      <c r="F362" s="6"/>
      <c r="G362" s="6"/>
      <c r="H362" s="6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>
      <c r="A363" s="1"/>
      <c r="B363" s="6"/>
      <c r="C363" s="6"/>
      <c r="D363" s="6"/>
      <c r="E363" s="6"/>
      <c r="F363" s="6"/>
      <c r="G363" s="6"/>
      <c r="H363" s="6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>
      <c r="A364" s="1"/>
      <c r="B364" s="6"/>
      <c r="C364" s="6"/>
      <c r="D364" s="6"/>
      <c r="E364" s="6"/>
      <c r="F364" s="6"/>
      <c r="G364" s="6"/>
      <c r="H364" s="6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>
      <c r="A365" s="1"/>
      <c r="B365" s="6"/>
      <c r="C365" s="6"/>
      <c r="D365" s="6"/>
      <c r="E365" s="6"/>
      <c r="F365" s="6"/>
      <c r="G365" s="6"/>
      <c r="H365" s="6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>
      <c r="A366" s="1"/>
      <c r="B366" s="6"/>
      <c r="C366" s="6"/>
      <c r="D366" s="6"/>
      <c r="E366" s="6"/>
      <c r="F366" s="6"/>
      <c r="G366" s="6"/>
      <c r="H366" s="6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>
      <c r="A367" s="1"/>
      <c r="B367" s="6"/>
      <c r="C367" s="6"/>
      <c r="D367" s="6"/>
      <c r="E367" s="6"/>
      <c r="F367" s="6"/>
      <c r="G367" s="6"/>
      <c r="H367" s="6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>
      <c r="A368" s="1"/>
      <c r="B368" s="6"/>
      <c r="C368" s="6"/>
      <c r="D368" s="6"/>
      <c r="E368" s="6"/>
      <c r="F368" s="6"/>
      <c r="G368" s="6"/>
      <c r="H368" s="6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>
      <c r="A369" s="1"/>
      <c r="B369" s="6"/>
      <c r="C369" s="6"/>
      <c r="D369" s="6"/>
      <c r="E369" s="6"/>
      <c r="F369" s="6"/>
      <c r="G369" s="6"/>
      <c r="H369" s="6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>
      <c r="A370" s="1"/>
      <c r="B370" s="6"/>
      <c r="C370" s="6"/>
      <c r="D370" s="6"/>
      <c r="E370" s="6"/>
      <c r="F370" s="6"/>
      <c r="G370" s="6"/>
      <c r="H370" s="6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>
      <c r="A371" s="1"/>
      <c r="B371" s="6"/>
      <c r="C371" s="6"/>
      <c r="D371" s="6"/>
      <c r="E371" s="6"/>
      <c r="F371" s="6"/>
      <c r="G371" s="6"/>
      <c r="H371" s="6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>
      <c r="A372" s="1"/>
      <c r="B372" s="6"/>
      <c r="C372" s="6"/>
      <c r="D372" s="6"/>
      <c r="E372" s="6"/>
      <c r="F372" s="6"/>
      <c r="G372" s="6"/>
      <c r="H372" s="6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>
      <c r="A373" s="1"/>
      <c r="B373" s="6"/>
      <c r="C373" s="6"/>
      <c r="D373" s="6"/>
      <c r="E373" s="6"/>
      <c r="F373" s="6"/>
      <c r="G373" s="6"/>
      <c r="H373" s="6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>
      <c r="A374" s="1"/>
      <c r="B374" s="6"/>
      <c r="C374" s="6"/>
      <c r="D374" s="6"/>
      <c r="E374" s="6"/>
      <c r="F374" s="6"/>
      <c r="G374" s="6"/>
      <c r="H374" s="6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>
      <c r="A375" s="1"/>
      <c r="B375" s="6"/>
      <c r="C375" s="6"/>
      <c r="D375" s="6"/>
      <c r="E375" s="6"/>
      <c r="F375" s="6"/>
      <c r="G375" s="6"/>
      <c r="H375" s="6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>
      <c r="A376" s="1"/>
      <c r="B376" s="6"/>
      <c r="C376" s="6"/>
      <c r="D376" s="6"/>
      <c r="E376" s="6"/>
      <c r="F376" s="6"/>
      <c r="G376" s="6"/>
      <c r="H376" s="6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>
      <c r="A377" s="1"/>
      <c r="B377" s="6"/>
      <c r="C377" s="6"/>
      <c r="D377" s="6"/>
      <c r="E377" s="6"/>
      <c r="F377" s="6"/>
      <c r="G377" s="6"/>
      <c r="H377" s="6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>
      <c r="A378" s="1"/>
      <c r="B378" s="6"/>
      <c r="C378" s="6"/>
      <c r="D378" s="6"/>
      <c r="E378" s="6"/>
      <c r="F378" s="6"/>
      <c r="G378" s="6"/>
      <c r="H378" s="6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>
      <c r="A379" s="1"/>
      <c r="B379" s="6"/>
      <c r="C379" s="6"/>
      <c r="D379" s="6"/>
      <c r="E379" s="6"/>
      <c r="F379" s="6"/>
      <c r="G379" s="6"/>
      <c r="H379" s="6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>
      <c r="A380" s="1"/>
      <c r="B380" s="6"/>
      <c r="C380" s="6"/>
      <c r="D380" s="6"/>
      <c r="E380" s="6"/>
      <c r="F380" s="6"/>
      <c r="G380" s="6"/>
      <c r="H380" s="6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>
      <c r="A381" s="1"/>
      <c r="B381" s="6"/>
      <c r="C381" s="6"/>
      <c r="D381" s="6"/>
      <c r="E381" s="6"/>
      <c r="F381" s="6"/>
      <c r="G381" s="6"/>
      <c r="H381" s="6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>
      <c r="A382" s="1"/>
      <c r="B382" s="6"/>
      <c r="C382" s="6"/>
      <c r="D382" s="6"/>
      <c r="E382" s="6"/>
      <c r="F382" s="6"/>
      <c r="G382" s="6"/>
      <c r="H382" s="6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>
      <c r="A383" s="1"/>
      <c r="B383" s="6"/>
      <c r="C383" s="6"/>
      <c r="D383" s="6"/>
      <c r="E383" s="6"/>
      <c r="F383" s="6"/>
      <c r="G383" s="6"/>
      <c r="H383" s="6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>
      <c r="A384" s="1"/>
      <c r="B384" s="6"/>
      <c r="C384" s="6"/>
      <c r="D384" s="6"/>
      <c r="E384" s="6"/>
      <c r="F384" s="6"/>
      <c r="G384" s="6"/>
      <c r="H384" s="6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>
      <c r="A385" s="1"/>
      <c r="B385" s="6"/>
      <c r="C385" s="6"/>
      <c r="D385" s="6"/>
      <c r="E385" s="6"/>
      <c r="F385" s="6"/>
      <c r="G385" s="6"/>
      <c r="H385" s="6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>
      <c r="A386" s="1"/>
      <c r="B386" s="6"/>
      <c r="C386" s="6"/>
      <c r="D386" s="6"/>
      <c r="E386" s="6"/>
      <c r="F386" s="6"/>
      <c r="G386" s="6"/>
      <c r="H386" s="6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>
      <c r="A387" s="1"/>
      <c r="B387" s="6"/>
      <c r="C387" s="6"/>
      <c r="D387" s="6"/>
      <c r="E387" s="6"/>
      <c r="F387" s="6"/>
      <c r="G387" s="6"/>
      <c r="H387" s="6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>
      <c r="A388" s="1"/>
      <c r="B388" s="6"/>
      <c r="C388" s="6"/>
      <c r="D388" s="6"/>
      <c r="E388" s="6"/>
      <c r="F388" s="6"/>
      <c r="G388" s="6"/>
      <c r="H388" s="6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>
      <c r="A389" s="1"/>
      <c r="B389" s="6"/>
      <c r="C389" s="6"/>
      <c r="D389" s="6"/>
      <c r="E389" s="6"/>
      <c r="F389" s="6"/>
      <c r="G389" s="6"/>
      <c r="H389" s="6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>
      <c r="A390" s="1"/>
      <c r="B390" s="6"/>
      <c r="C390" s="6"/>
      <c r="D390" s="6"/>
      <c r="E390" s="6"/>
      <c r="F390" s="6"/>
      <c r="G390" s="6"/>
      <c r="H390" s="6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>
      <c r="A391" s="1"/>
      <c r="B391" s="6"/>
      <c r="C391" s="6"/>
      <c r="D391" s="6"/>
      <c r="E391" s="6"/>
      <c r="F391" s="6"/>
      <c r="G391" s="6"/>
      <c r="H391" s="6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>
      <c r="A392" s="1"/>
      <c r="B392" s="6"/>
      <c r="C392" s="6"/>
      <c r="D392" s="6"/>
      <c r="E392" s="6"/>
      <c r="F392" s="6"/>
      <c r="G392" s="6"/>
      <c r="H392" s="6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>
      <c r="A393" s="1"/>
      <c r="B393" s="6"/>
      <c r="C393" s="6"/>
      <c r="D393" s="6"/>
      <c r="E393" s="6"/>
      <c r="F393" s="6"/>
      <c r="G393" s="6"/>
      <c r="H393" s="6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>
      <c r="A394" s="1"/>
      <c r="B394" s="6"/>
      <c r="C394" s="6"/>
      <c r="D394" s="6"/>
      <c r="E394" s="6"/>
      <c r="F394" s="6"/>
      <c r="G394" s="6"/>
      <c r="H394" s="6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>
      <c r="A395" s="1"/>
      <c r="B395" s="6"/>
      <c r="C395" s="6"/>
      <c r="D395" s="6"/>
      <c r="E395" s="6"/>
      <c r="F395" s="6"/>
      <c r="G395" s="6"/>
      <c r="H395" s="6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>
      <c r="A396" s="1"/>
      <c r="B396" s="6"/>
      <c r="C396" s="6"/>
      <c r="D396" s="6"/>
      <c r="E396" s="6"/>
      <c r="F396" s="6"/>
      <c r="G396" s="6"/>
      <c r="H396" s="6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>
      <c r="A397" s="1"/>
      <c r="B397" s="6"/>
      <c r="C397" s="6"/>
      <c r="D397" s="6"/>
      <c r="E397" s="6"/>
      <c r="F397" s="6"/>
      <c r="G397" s="6"/>
      <c r="H397" s="6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>
      <c r="A398" s="1"/>
      <c r="B398" s="6"/>
      <c r="C398" s="6"/>
      <c r="D398" s="6"/>
      <c r="E398" s="6"/>
      <c r="F398" s="6"/>
      <c r="G398" s="6"/>
      <c r="H398" s="6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>
      <c r="A399" s="1"/>
      <c r="B399" s="6"/>
      <c r="C399" s="6"/>
      <c r="D399" s="6"/>
      <c r="E399" s="6"/>
      <c r="F399" s="6"/>
      <c r="G399" s="6"/>
      <c r="H399" s="6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>
      <c r="A400" s="1"/>
      <c r="B400" s="6"/>
      <c r="C400" s="6"/>
      <c r="D400" s="6"/>
      <c r="E400" s="6"/>
      <c r="F400" s="6"/>
      <c r="G400" s="6"/>
      <c r="H400" s="6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>
      <c r="A401" s="1"/>
      <c r="B401" s="6"/>
      <c r="C401" s="6"/>
      <c r="D401" s="6"/>
      <c r="E401" s="6"/>
      <c r="F401" s="6"/>
      <c r="G401" s="6"/>
      <c r="H401" s="6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>
      <c r="A402" s="1"/>
      <c r="B402" s="6"/>
      <c r="C402" s="6"/>
      <c r="D402" s="6"/>
      <c r="E402" s="6"/>
      <c r="F402" s="6"/>
      <c r="G402" s="6"/>
      <c r="H402" s="6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>
      <c r="A403" s="1"/>
      <c r="B403" s="6"/>
      <c r="C403" s="6"/>
      <c r="D403" s="6"/>
      <c r="E403" s="6"/>
      <c r="F403" s="6"/>
      <c r="G403" s="6"/>
      <c r="H403" s="6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>
      <c r="A404" s="1"/>
      <c r="B404" s="6"/>
      <c r="C404" s="6"/>
      <c r="D404" s="6"/>
      <c r="E404" s="6"/>
      <c r="F404" s="6"/>
      <c r="G404" s="6"/>
      <c r="H404" s="6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>
      <c r="A405" s="1"/>
      <c r="B405" s="6"/>
      <c r="C405" s="6"/>
      <c r="D405" s="6"/>
      <c r="E405" s="6"/>
      <c r="F405" s="6"/>
      <c r="G405" s="6"/>
      <c r="H405" s="6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>
      <c r="A406" s="1"/>
      <c r="B406" s="6"/>
      <c r="C406" s="6"/>
      <c r="D406" s="6"/>
      <c r="E406" s="6"/>
      <c r="F406" s="6"/>
      <c r="G406" s="6"/>
      <c r="H406" s="6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>
      <c r="A407" s="1"/>
      <c r="B407" s="6"/>
      <c r="C407" s="6"/>
      <c r="D407" s="6"/>
      <c r="E407" s="6"/>
      <c r="F407" s="6"/>
      <c r="G407" s="6"/>
      <c r="H407" s="6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>
      <c r="A408" s="1"/>
      <c r="B408" s="6"/>
      <c r="C408" s="6"/>
      <c r="D408" s="6"/>
      <c r="E408" s="6"/>
      <c r="F408" s="6"/>
      <c r="G408" s="6"/>
      <c r="H408" s="6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>
      <c r="A409" s="1"/>
      <c r="B409" s="6"/>
      <c r="C409" s="6"/>
      <c r="D409" s="6"/>
      <c r="E409" s="6"/>
      <c r="F409" s="6"/>
      <c r="G409" s="6"/>
      <c r="H409" s="6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>
      <c r="A410" s="1"/>
      <c r="B410" s="6"/>
      <c r="C410" s="6"/>
      <c r="D410" s="6"/>
      <c r="E410" s="6"/>
      <c r="F410" s="6"/>
      <c r="G410" s="6"/>
      <c r="H410" s="6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>
      <c r="A411" s="1"/>
      <c r="B411" s="6"/>
      <c r="C411" s="6"/>
      <c r="D411" s="6"/>
      <c r="E411" s="6"/>
      <c r="F411" s="6"/>
      <c r="G411" s="6"/>
      <c r="H411" s="6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>
      <c r="A412" s="1"/>
      <c r="B412" s="6"/>
      <c r="C412" s="6"/>
      <c r="D412" s="6"/>
      <c r="E412" s="6"/>
      <c r="F412" s="6"/>
      <c r="G412" s="6"/>
      <c r="H412" s="6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>
      <c r="A413" s="1"/>
      <c r="B413" s="6"/>
      <c r="C413" s="6"/>
      <c r="D413" s="6"/>
      <c r="E413" s="6"/>
      <c r="F413" s="6"/>
      <c r="G413" s="6"/>
      <c r="H413" s="6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>
      <c r="A414" s="1"/>
      <c r="B414" s="6"/>
      <c r="C414" s="6"/>
      <c r="D414" s="6"/>
      <c r="E414" s="6"/>
      <c r="F414" s="6"/>
      <c r="G414" s="6"/>
      <c r="H414" s="6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>
      <c r="A415" s="1"/>
      <c r="B415" s="6"/>
      <c r="C415" s="6"/>
      <c r="D415" s="6"/>
      <c r="E415" s="6"/>
      <c r="F415" s="6"/>
      <c r="G415" s="6"/>
      <c r="H415" s="6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>
      <c r="A416" s="1"/>
      <c r="B416" s="6"/>
      <c r="C416" s="6"/>
      <c r="D416" s="6"/>
      <c r="E416" s="6"/>
      <c r="F416" s="6"/>
      <c r="G416" s="6"/>
      <c r="H416" s="6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>
      <c r="A417" s="1"/>
      <c r="B417" s="6"/>
      <c r="C417" s="6"/>
      <c r="D417" s="6"/>
      <c r="E417" s="6"/>
      <c r="F417" s="6"/>
      <c r="G417" s="6"/>
      <c r="H417" s="6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>
      <c r="A418" s="1"/>
      <c r="B418" s="6"/>
      <c r="C418" s="6"/>
      <c r="D418" s="6"/>
      <c r="E418" s="6"/>
      <c r="F418" s="6"/>
      <c r="G418" s="6"/>
      <c r="H418" s="6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>
      <c r="A419" s="1"/>
      <c r="B419" s="6"/>
      <c r="C419" s="6"/>
      <c r="D419" s="6"/>
      <c r="E419" s="6"/>
      <c r="F419" s="6"/>
      <c r="G419" s="6"/>
      <c r="H419" s="6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>
      <c r="A420" s="1"/>
      <c r="B420" s="6"/>
      <c r="C420" s="6"/>
      <c r="D420" s="6"/>
      <c r="E420" s="6"/>
      <c r="F420" s="6"/>
      <c r="G420" s="6"/>
      <c r="H420" s="6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>
      <c r="A421" s="1"/>
      <c r="B421" s="6"/>
      <c r="C421" s="6"/>
      <c r="D421" s="6"/>
      <c r="E421" s="6"/>
      <c r="F421" s="6"/>
      <c r="G421" s="6"/>
      <c r="H421" s="6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>
      <c r="A422" s="1"/>
      <c r="B422" s="6"/>
      <c r="C422" s="6"/>
      <c r="D422" s="6"/>
      <c r="E422" s="6"/>
      <c r="F422" s="6"/>
      <c r="G422" s="6"/>
      <c r="H422" s="6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>
      <c r="A423" s="1"/>
      <c r="B423" s="6"/>
      <c r="C423" s="6"/>
      <c r="D423" s="6"/>
      <c r="E423" s="6"/>
      <c r="F423" s="6"/>
      <c r="G423" s="6"/>
      <c r="H423" s="6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>
      <c r="A424" s="1"/>
      <c r="B424" s="6"/>
      <c r="C424" s="6"/>
      <c r="D424" s="6"/>
      <c r="E424" s="6"/>
      <c r="F424" s="6"/>
      <c r="G424" s="6"/>
      <c r="H424" s="6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>
      <c r="A425" s="1"/>
      <c r="B425" s="6"/>
      <c r="C425" s="6"/>
      <c r="D425" s="6"/>
      <c r="E425" s="6"/>
      <c r="F425" s="6"/>
      <c r="G425" s="6"/>
      <c r="H425" s="6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>
      <c r="A426" s="1"/>
      <c r="B426" s="6"/>
      <c r="C426" s="6"/>
      <c r="D426" s="6"/>
      <c r="E426" s="6"/>
      <c r="F426" s="6"/>
      <c r="G426" s="6"/>
      <c r="H426" s="6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>
      <c r="A427" s="1"/>
      <c r="B427" s="6"/>
      <c r="C427" s="6"/>
      <c r="D427" s="6"/>
      <c r="E427" s="6"/>
      <c r="F427" s="6"/>
      <c r="G427" s="6"/>
      <c r="H427" s="6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>
      <c r="A428" s="1"/>
      <c r="B428" s="6"/>
      <c r="C428" s="6"/>
      <c r="D428" s="6"/>
      <c r="E428" s="6"/>
      <c r="F428" s="6"/>
      <c r="G428" s="6"/>
      <c r="H428" s="6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>
      <c r="A429" s="1"/>
      <c r="B429" s="6"/>
      <c r="C429" s="6"/>
      <c r="D429" s="6"/>
      <c r="E429" s="6"/>
      <c r="F429" s="6"/>
      <c r="G429" s="6"/>
      <c r="H429" s="6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>
      <c r="A430" s="1"/>
      <c r="B430" s="6"/>
      <c r="C430" s="6"/>
      <c r="D430" s="6"/>
      <c r="E430" s="6"/>
      <c r="F430" s="6"/>
      <c r="G430" s="6"/>
      <c r="H430" s="6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>
      <c r="A431" s="1"/>
      <c r="B431" s="6"/>
      <c r="C431" s="6"/>
      <c r="D431" s="6"/>
      <c r="E431" s="6"/>
      <c r="F431" s="6"/>
      <c r="G431" s="6"/>
      <c r="H431" s="6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>
      <c r="A432" s="1"/>
      <c r="B432" s="6"/>
      <c r="C432" s="6"/>
      <c r="D432" s="6"/>
      <c r="E432" s="6"/>
      <c r="F432" s="6"/>
      <c r="G432" s="6"/>
      <c r="H432" s="6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>
      <c r="A433" s="1"/>
      <c r="B433" s="6"/>
      <c r="C433" s="6"/>
      <c r="D433" s="6"/>
      <c r="E433" s="6"/>
      <c r="F433" s="6"/>
      <c r="G433" s="6"/>
      <c r="H433" s="6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>
      <c r="A434" s="1"/>
      <c r="B434" s="6"/>
      <c r="C434" s="6"/>
      <c r="D434" s="6"/>
      <c r="E434" s="6"/>
      <c r="F434" s="6"/>
      <c r="G434" s="6"/>
      <c r="H434" s="6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>
      <c r="A435" s="1"/>
      <c r="B435" s="6"/>
      <c r="C435" s="6"/>
      <c r="D435" s="6"/>
      <c r="E435" s="6"/>
      <c r="F435" s="6"/>
      <c r="G435" s="6"/>
      <c r="H435" s="6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>
      <c r="A436" s="1"/>
      <c r="B436" s="6"/>
      <c r="C436" s="6"/>
      <c r="D436" s="6"/>
      <c r="E436" s="6"/>
      <c r="F436" s="6"/>
      <c r="G436" s="6"/>
      <c r="H436" s="6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>
      <c r="A437" s="1"/>
      <c r="B437" s="6"/>
      <c r="C437" s="6"/>
      <c r="D437" s="6"/>
      <c r="E437" s="6"/>
      <c r="F437" s="6"/>
      <c r="G437" s="6"/>
      <c r="H437" s="6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>
      <c r="A438" s="1"/>
      <c r="B438" s="6"/>
      <c r="C438" s="6"/>
      <c r="D438" s="6"/>
      <c r="E438" s="6"/>
      <c r="F438" s="6"/>
      <c r="G438" s="6"/>
      <c r="H438" s="6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>
      <c r="A439" s="1"/>
      <c r="B439" s="6"/>
      <c r="C439" s="6"/>
      <c r="D439" s="6"/>
      <c r="E439" s="6"/>
      <c r="F439" s="6"/>
      <c r="G439" s="6"/>
      <c r="H439" s="6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>
      <c r="A440" s="1"/>
      <c r="B440" s="6"/>
      <c r="C440" s="6"/>
      <c r="D440" s="6"/>
      <c r="E440" s="6"/>
      <c r="F440" s="6"/>
      <c r="G440" s="6"/>
      <c r="H440" s="6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>
      <c r="A441" s="1"/>
      <c r="B441" s="6"/>
      <c r="C441" s="6"/>
      <c r="D441" s="6"/>
      <c r="E441" s="6"/>
      <c r="F441" s="6"/>
      <c r="G441" s="6"/>
      <c r="H441" s="6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>
      <c r="A442" s="1"/>
      <c r="B442" s="6"/>
      <c r="C442" s="6"/>
      <c r="D442" s="6"/>
      <c r="E442" s="6"/>
      <c r="F442" s="6"/>
      <c r="G442" s="6"/>
      <c r="H442" s="6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>
      <c r="A443" s="1"/>
      <c r="B443" s="6"/>
      <c r="C443" s="6"/>
      <c r="D443" s="6"/>
      <c r="E443" s="6"/>
      <c r="F443" s="6"/>
      <c r="G443" s="6"/>
      <c r="H443" s="6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>
      <c r="A444" s="1"/>
      <c r="B444" s="6"/>
      <c r="C444" s="6"/>
      <c r="D444" s="6"/>
      <c r="E444" s="6"/>
      <c r="F444" s="6"/>
      <c r="G444" s="6"/>
      <c r="H444" s="6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>
      <c r="A445" s="1"/>
      <c r="B445" s="6"/>
      <c r="C445" s="6"/>
      <c r="D445" s="6"/>
      <c r="E445" s="6"/>
      <c r="F445" s="6"/>
      <c r="G445" s="6"/>
      <c r="H445" s="6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>
      <c r="A446" s="1"/>
      <c r="B446" s="6"/>
      <c r="C446" s="6"/>
      <c r="D446" s="6"/>
      <c r="E446" s="6"/>
      <c r="F446" s="6"/>
      <c r="G446" s="6"/>
      <c r="H446" s="6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>
      <c r="A447" s="1"/>
      <c r="B447" s="6"/>
      <c r="C447" s="6"/>
      <c r="D447" s="6"/>
      <c r="E447" s="6"/>
      <c r="F447" s="6"/>
      <c r="G447" s="6"/>
      <c r="H447" s="6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>
      <c r="A448" s="1"/>
      <c r="B448" s="6"/>
      <c r="C448" s="6"/>
      <c r="D448" s="6"/>
      <c r="E448" s="6"/>
      <c r="F448" s="6"/>
      <c r="G448" s="6"/>
      <c r="H448" s="6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>
      <c r="A449" s="1"/>
      <c r="B449" s="6"/>
      <c r="C449" s="6"/>
      <c r="D449" s="6"/>
      <c r="E449" s="6"/>
      <c r="F449" s="6"/>
      <c r="G449" s="6"/>
      <c r="H449" s="6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>
      <c r="A450" s="1"/>
      <c r="B450" s="6"/>
      <c r="C450" s="6"/>
      <c r="D450" s="6"/>
      <c r="E450" s="6"/>
      <c r="F450" s="6"/>
      <c r="G450" s="6"/>
      <c r="H450" s="6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>
      <c r="A451" s="1"/>
      <c r="B451" s="6"/>
      <c r="C451" s="6"/>
      <c r="D451" s="6"/>
      <c r="E451" s="6"/>
      <c r="F451" s="6"/>
      <c r="G451" s="6"/>
      <c r="H451" s="6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>
      <c r="A452" s="1"/>
      <c r="B452" s="6"/>
      <c r="C452" s="6"/>
      <c r="D452" s="6"/>
      <c r="E452" s="6"/>
      <c r="F452" s="6"/>
      <c r="G452" s="6"/>
      <c r="H452" s="6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>
      <c r="A453" s="1"/>
      <c r="B453" s="6"/>
      <c r="C453" s="6"/>
      <c r="D453" s="6"/>
      <c r="E453" s="6"/>
      <c r="F453" s="6"/>
      <c r="G453" s="6"/>
      <c r="H453" s="6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>
      <c r="A454" s="1"/>
      <c r="B454" s="6"/>
      <c r="C454" s="6"/>
      <c r="D454" s="6"/>
      <c r="E454" s="6"/>
      <c r="F454" s="6"/>
      <c r="G454" s="6"/>
      <c r="H454" s="6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>
      <c r="A455" s="1"/>
      <c r="B455" s="6"/>
      <c r="C455" s="6"/>
      <c r="D455" s="6"/>
      <c r="E455" s="6"/>
      <c r="F455" s="6"/>
      <c r="G455" s="6"/>
      <c r="H455" s="6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>
      <c r="A456" s="1"/>
      <c r="B456" s="6"/>
      <c r="C456" s="6"/>
      <c r="D456" s="6"/>
      <c r="E456" s="6"/>
      <c r="F456" s="6"/>
      <c r="G456" s="6"/>
      <c r="H456" s="6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>
      <c r="A457" s="1"/>
      <c r="B457" s="6"/>
      <c r="C457" s="6"/>
      <c r="D457" s="6"/>
      <c r="E457" s="6"/>
      <c r="F457" s="6"/>
      <c r="G457" s="6"/>
      <c r="H457" s="6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>
      <c r="A458" s="1"/>
      <c r="B458" s="6"/>
      <c r="C458" s="6"/>
      <c r="D458" s="6"/>
      <c r="E458" s="6"/>
      <c r="F458" s="6"/>
      <c r="G458" s="6"/>
      <c r="H458" s="6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>
      <c r="A459" s="1"/>
      <c r="B459" s="6"/>
      <c r="C459" s="6"/>
      <c r="D459" s="6"/>
      <c r="E459" s="6"/>
      <c r="F459" s="6"/>
      <c r="G459" s="6"/>
      <c r="H459" s="6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>
      <c r="A460" s="1"/>
      <c r="B460" s="6"/>
      <c r="C460" s="6"/>
      <c r="D460" s="6"/>
      <c r="E460" s="6"/>
      <c r="F460" s="6"/>
      <c r="G460" s="6"/>
      <c r="H460" s="6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>
      <c r="A461" s="1"/>
      <c r="B461" s="6"/>
      <c r="C461" s="6"/>
      <c r="D461" s="6"/>
      <c r="E461" s="6"/>
      <c r="F461" s="6"/>
      <c r="G461" s="6"/>
      <c r="H461" s="6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>
      <c r="A462" s="1"/>
      <c r="B462" s="6"/>
      <c r="C462" s="6"/>
      <c r="D462" s="6"/>
      <c r="E462" s="6"/>
      <c r="F462" s="6"/>
      <c r="G462" s="6"/>
      <c r="H462" s="6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>
      <c r="A463" s="1"/>
      <c r="B463" s="6"/>
      <c r="C463" s="6"/>
      <c r="D463" s="6"/>
      <c r="E463" s="6"/>
      <c r="F463" s="6"/>
      <c r="G463" s="6"/>
      <c r="H463" s="6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>
      <c r="A464" s="1"/>
      <c r="B464" s="6"/>
      <c r="C464" s="6"/>
      <c r="D464" s="6"/>
      <c r="E464" s="6"/>
      <c r="F464" s="6"/>
      <c r="G464" s="6"/>
      <c r="H464" s="6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>
      <c r="A465" s="1"/>
      <c r="B465" s="6"/>
      <c r="C465" s="6"/>
      <c r="D465" s="6"/>
      <c r="E465" s="6"/>
      <c r="F465" s="6"/>
      <c r="G465" s="6"/>
      <c r="H465" s="6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>
      <c r="A466" s="1"/>
      <c r="B466" s="6"/>
      <c r="C466" s="6"/>
      <c r="D466" s="6"/>
      <c r="E466" s="6"/>
      <c r="F466" s="6"/>
      <c r="G466" s="6"/>
      <c r="H466" s="6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>
      <c r="A467" s="1"/>
      <c r="B467" s="6"/>
      <c r="C467" s="6"/>
      <c r="D467" s="6"/>
      <c r="E467" s="6"/>
      <c r="F467" s="6"/>
      <c r="G467" s="6"/>
      <c r="H467" s="6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>
      <c r="A468" s="1"/>
      <c r="B468" s="6"/>
      <c r="C468" s="6"/>
      <c r="D468" s="6"/>
      <c r="E468" s="6"/>
      <c r="F468" s="6"/>
      <c r="G468" s="6"/>
      <c r="H468" s="6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>
      <c r="A469" s="1"/>
      <c r="B469" s="6"/>
      <c r="C469" s="6"/>
      <c r="D469" s="6"/>
      <c r="E469" s="6"/>
      <c r="F469" s="6"/>
      <c r="G469" s="6"/>
      <c r="H469" s="6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>
      <c r="A470" s="1"/>
      <c r="B470" s="6"/>
      <c r="C470" s="6"/>
      <c r="D470" s="6"/>
      <c r="E470" s="6"/>
      <c r="F470" s="6"/>
      <c r="G470" s="6"/>
      <c r="H470" s="6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>
      <c r="A471" s="1"/>
      <c r="B471" s="6"/>
      <c r="C471" s="6"/>
      <c r="D471" s="6"/>
      <c r="E471" s="6"/>
      <c r="F471" s="6"/>
      <c r="G471" s="6"/>
      <c r="H471" s="6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>
      <c r="A472" s="1"/>
      <c r="B472" s="6"/>
      <c r="C472" s="6"/>
      <c r="D472" s="6"/>
      <c r="E472" s="6"/>
      <c r="F472" s="6"/>
      <c r="G472" s="6"/>
      <c r="H472" s="6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>
      <c r="A473" s="1"/>
      <c r="B473" s="6"/>
      <c r="C473" s="6"/>
      <c r="D473" s="6"/>
      <c r="E473" s="6"/>
      <c r="F473" s="6"/>
      <c r="G473" s="6"/>
      <c r="H473" s="6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>
      <c r="A474" s="1"/>
      <c r="B474" s="6"/>
      <c r="C474" s="6"/>
      <c r="D474" s="6"/>
      <c r="E474" s="6"/>
      <c r="F474" s="6"/>
      <c r="G474" s="6"/>
      <c r="H474" s="6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>
      <c r="A475" s="1"/>
      <c r="B475" s="6"/>
      <c r="C475" s="6"/>
      <c r="D475" s="6"/>
      <c r="E475" s="6"/>
      <c r="F475" s="6"/>
      <c r="G475" s="6"/>
      <c r="H475" s="6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>
      <c r="A476" s="1"/>
      <c r="B476" s="6"/>
      <c r="C476" s="6"/>
      <c r="D476" s="6"/>
      <c r="E476" s="6"/>
      <c r="F476" s="6"/>
      <c r="G476" s="6"/>
      <c r="H476" s="6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>
      <c r="A477" s="1"/>
      <c r="B477" s="6"/>
      <c r="C477" s="6"/>
      <c r="D477" s="6"/>
      <c r="E477" s="6"/>
      <c r="F477" s="6"/>
      <c r="G477" s="6"/>
      <c r="H477" s="6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>
      <c r="A478" s="1"/>
      <c r="B478" s="6"/>
      <c r="C478" s="6"/>
      <c r="D478" s="6"/>
      <c r="E478" s="6"/>
      <c r="F478" s="6"/>
      <c r="G478" s="6"/>
      <c r="H478" s="6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>
      <c r="A479" s="1"/>
      <c r="B479" s="6"/>
      <c r="C479" s="6"/>
      <c r="D479" s="6"/>
      <c r="E479" s="6"/>
      <c r="F479" s="6"/>
      <c r="G479" s="6"/>
      <c r="H479" s="6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>
      <c r="A480" s="1"/>
      <c r="B480" s="6"/>
      <c r="C480" s="6"/>
      <c r="D480" s="6"/>
      <c r="E480" s="6"/>
      <c r="F480" s="6"/>
      <c r="G480" s="6"/>
      <c r="H480" s="6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>
      <c r="A481" s="1"/>
      <c r="B481" s="6"/>
      <c r="C481" s="6"/>
      <c r="D481" s="6"/>
      <c r="E481" s="6"/>
      <c r="F481" s="6"/>
      <c r="G481" s="6"/>
      <c r="H481" s="6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>
      <c r="A482" s="1"/>
      <c r="B482" s="6"/>
      <c r="C482" s="6"/>
      <c r="D482" s="6"/>
      <c r="E482" s="6"/>
      <c r="F482" s="6"/>
      <c r="G482" s="6"/>
      <c r="H482" s="6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>
      <c r="A483" s="1"/>
      <c r="B483" s="6"/>
      <c r="C483" s="6"/>
      <c r="D483" s="6"/>
      <c r="E483" s="6"/>
      <c r="F483" s="6"/>
      <c r="G483" s="6"/>
      <c r="H483" s="6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>
      <c r="A484" s="1"/>
      <c r="B484" s="6"/>
      <c r="C484" s="6"/>
      <c r="D484" s="6"/>
      <c r="E484" s="6"/>
      <c r="F484" s="6"/>
      <c r="G484" s="6"/>
      <c r="H484" s="6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>
      <c r="A485" s="1"/>
      <c r="B485" s="6"/>
      <c r="C485" s="6"/>
      <c r="D485" s="6"/>
      <c r="E485" s="6"/>
      <c r="F485" s="6"/>
      <c r="G485" s="6"/>
      <c r="H485" s="6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>
      <c r="A486" s="1"/>
      <c r="B486" s="6"/>
      <c r="C486" s="6"/>
      <c r="D486" s="6"/>
      <c r="E486" s="6"/>
      <c r="F486" s="6"/>
      <c r="G486" s="6"/>
      <c r="H486" s="6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>
      <c r="A487" s="1"/>
      <c r="B487" s="6"/>
      <c r="C487" s="6"/>
      <c r="D487" s="6"/>
      <c r="E487" s="6"/>
      <c r="F487" s="6"/>
      <c r="G487" s="6"/>
      <c r="H487" s="6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>
      <c r="A488" s="1"/>
      <c r="B488" s="6"/>
      <c r="C488" s="6"/>
      <c r="D488" s="6"/>
      <c r="E488" s="6"/>
      <c r="F488" s="6"/>
      <c r="G488" s="6"/>
      <c r="H488" s="6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>
      <c r="A489" s="1"/>
      <c r="B489" s="6"/>
      <c r="C489" s="6"/>
      <c r="D489" s="6"/>
      <c r="E489" s="6"/>
      <c r="F489" s="6"/>
      <c r="G489" s="6"/>
      <c r="H489" s="6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>
      <c r="A490" s="1"/>
      <c r="B490" s="6"/>
      <c r="C490" s="6"/>
      <c r="D490" s="6"/>
      <c r="E490" s="6"/>
      <c r="F490" s="6"/>
      <c r="G490" s="6"/>
      <c r="H490" s="6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>
      <c r="A491" s="1"/>
      <c r="B491" s="6"/>
      <c r="C491" s="6"/>
      <c r="D491" s="6"/>
      <c r="E491" s="6"/>
      <c r="F491" s="6"/>
      <c r="G491" s="6"/>
      <c r="H491" s="6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>
      <c r="A492" s="1"/>
      <c r="B492" s="6"/>
      <c r="C492" s="6"/>
      <c r="D492" s="6"/>
      <c r="E492" s="6"/>
      <c r="F492" s="6"/>
      <c r="G492" s="6"/>
      <c r="H492" s="6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>
      <c r="A493" s="1"/>
      <c r="B493" s="6"/>
      <c r="C493" s="6"/>
      <c r="D493" s="6"/>
      <c r="E493" s="6"/>
      <c r="F493" s="6"/>
      <c r="G493" s="6"/>
      <c r="H493" s="6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>
      <c r="A494" s="1"/>
      <c r="B494" s="6"/>
      <c r="C494" s="6"/>
      <c r="D494" s="6"/>
      <c r="E494" s="6"/>
      <c r="F494" s="6"/>
      <c r="G494" s="6"/>
      <c r="H494" s="6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>
      <c r="A495" s="1"/>
      <c r="B495" s="6"/>
      <c r="C495" s="6"/>
      <c r="D495" s="6"/>
      <c r="E495" s="6"/>
      <c r="F495" s="6"/>
      <c r="G495" s="6"/>
      <c r="H495" s="6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>
      <c r="A496" s="1"/>
      <c r="B496" s="6"/>
      <c r="C496" s="6"/>
      <c r="D496" s="6"/>
      <c r="E496" s="6"/>
      <c r="F496" s="6"/>
      <c r="G496" s="6"/>
      <c r="H496" s="6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>
      <c r="A497" s="1"/>
      <c r="B497" s="6"/>
      <c r="C497" s="6"/>
      <c r="D497" s="6"/>
      <c r="E497" s="6"/>
      <c r="F497" s="6"/>
      <c r="G497" s="6"/>
      <c r="H497" s="6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>
      <c r="A498" s="1"/>
      <c r="B498" s="6"/>
      <c r="C498" s="6"/>
      <c r="D498" s="6"/>
      <c r="E498" s="6"/>
      <c r="F498" s="6"/>
      <c r="G498" s="6"/>
      <c r="H498" s="6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>
      <c r="A499" s="1"/>
      <c r="B499" s="6"/>
      <c r="C499" s="6"/>
      <c r="D499" s="6"/>
      <c r="E499" s="6"/>
      <c r="F499" s="6"/>
      <c r="G499" s="6"/>
      <c r="H499" s="6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>
      <c r="A500" s="1"/>
      <c r="B500" s="6"/>
      <c r="C500" s="6"/>
      <c r="D500" s="6"/>
      <c r="E500" s="6"/>
      <c r="F500" s="6"/>
      <c r="G500" s="6"/>
      <c r="H500" s="6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>
      <c r="A501" s="1"/>
      <c r="B501" s="6"/>
      <c r="C501" s="6"/>
      <c r="D501" s="6"/>
      <c r="E501" s="6"/>
      <c r="F501" s="6"/>
      <c r="G501" s="6"/>
      <c r="H501" s="6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>
      <c r="A502" s="1"/>
      <c r="B502" s="6"/>
      <c r="C502" s="6"/>
      <c r="D502" s="6"/>
      <c r="E502" s="6"/>
      <c r="F502" s="6"/>
      <c r="G502" s="6"/>
      <c r="H502" s="6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>
      <c r="A503" s="1"/>
      <c r="B503" s="6"/>
      <c r="C503" s="6"/>
      <c r="D503" s="6"/>
      <c r="E503" s="6"/>
      <c r="F503" s="6"/>
      <c r="G503" s="6"/>
      <c r="H503" s="6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>
      <c r="A504" s="1"/>
      <c r="B504" s="6"/>
      <c r="C504" s="6"/>
      <c r="D504" s="6"/>
      <c r="E504" s="6"/>
      <c r="F504" s="6"/>
      <c r="G504" s="6"/>
      <c r="H504" s="6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>
      <c r="A505" s="1"/>
      <c r="B505" s="6"/>
      <c r="C505" s="6"/>
      <c r="D505" s="6"/>
      <c r="E505" s="6"/>
      <c r="F505" s="6"/>
      <c r="G505" s="6"/>
      <c r="H505" s="6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>
      <c r="A506" s="1"/>
      <c r="B506" s="6"/>
      <c r="C506" s="6"/>
      <c r="D506" s="6"/>
      <c r="E506" s="6"/>
      <c r="F506" s="6"/>
      <c r="G506" s="6"/>
      <c r="H506" s="6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>
      <c r="A507" s="1"/>
      <c r="B507" s="6"/>
      <c r="C507" s="6"/>
      <c r="D507" s="6"/>
      <c r="E507" s="6"/>
      <c r="F507" s="6"/>
      <c r="G507" s="6"/>
      <c r="H507" s="6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>
      <c r="A508" s="1"/>
      <c r="B508" s="6"/>
      <c r="C508" s="6"/>
      <c r="D508" s="6"/>
      <c r="E508" s="6"/>
      <c r="F508" s="6"/>
      <c r="G508" s="6"/>
      <c r="H508" s="6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>
      <c r="A509" s="1"/>
      <c r="B509" s="6"/>
      <c r="C509" s="6"/>
      <c r="D509" s="6"/>
      <c r="E509" s="6"/>
      <c r="F509" s="6"/>
      <c r="G509" s="6"/>
      <c r="H509" s="6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>
      <c r="A510" s="1"/>
      <c r="B510" s="6"/>
      <c r="C510" s="6"/>
      <c r="D510" s="6"/>
      <c r="E510" s="6"/>
      <c r="F510" s="6"/>
      <c r="G510" s="6"/>
      <c r="H510" s="6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>
      <c r="A511" s="1"/>
      <c r="B511" s="6"/>
      <c r="C511" s="6"/>
      <c r="D511" s="6"/>
      <c r="E511" s="6"/>
      <c r="F511" s="6"/>
      <c r="G511" s="6"/>
      <c r="H511" s="6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>
      <c r="A512" s="1"/>
      <c r="B512" s="6"/>
      <c r="C512" s="6"/>
      <c r="D512" s="6"/>
      <c r="E512" s="6"/>
      <c r="F512" s="6"/>
      <c r="G512" s="6"/>
      <c r="H512" s="6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>
      <c r="A513" s="1"/>
      <c r="B513" s="6"/>
      <c r="C513" s="6"/>
      <c r="D513" s="6"/>
      <c r="E513" s="6"/>
      <c r="F513" s="6"/>
      <c r="G513" s="6"/>
      <c r="H513" s="6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>
      <c r="A514" s="1"/>
      <c r="B514" s="6"/>
      <c r="C514" s="6"/>
      <c r="D514" s="6"/>
      <c r="E514" s="6"/>
      <c r="F514" s="6"/>
      <c r="G514" s="6"/>
      <c r="H514" s="6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>
      <c r="A515" s="1"/>
      <c r="B515" s="6"/>
      <c r="C515" s="6"/>
      <c r="D515" s="6"/>
      <c r="E515" s="6"/>
      <c r="F515" s="6"/>
      <c r="G515" s="6"/>
      <c r="H515" s="6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>
      <c r="A516" s="1"/>
      <c r="B516" s="6"/>
      <c r="C516" s="6"/>
      <c r="D516" s="6"/>
      <c r="E516" s="6"/>
      <c r="F516" s="6"/>
      <c r="G516" s="6"/>
      <c r="H516" s="6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>
      <c r="A517" s="1"/>
      <c r="B517" s="6"/>
      <c r="C517" s="6"/>
      <c r="D517" s="6"/>
      <c r="E517" s="6"/>
      <c r="F517" s="6"/>
      <c r="G517" s="6"/>
      <c r="H517" s="6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>
      <c r="A518" s="1"/>
      <c r="B518" s="6"/>
      <c r="C518" s="6"/>
      <c r="D518" s="6"/>
      <c r="E518" s="6"/>
      <c r="F518" s="6"/>
      <c r="G518" s="6"/>
      <c r="H518" s="6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>
      <c r="A519" s="1"/>
      <c r="B519" s="6"/>
      <c r="C519" s="6"/>
      <c r="D519" s="6"/>
      <c r="E519" s="6"/>
      <c r="F519" s="6"/>
      <c r="G519" s="6"/>
      <c r="H519" s="6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>
      <c r="A520" s="1"/>
      <c r="B520" s="6"/>
      <c r="C520" s="6"/>
      <c r="D520" s="6"/>
      <c r="E520" s="6"/>
      <c r="F520" s="6"/>
      <c r="G520" s="6"/>
      <c r="H520" s="6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>
      <c r="A521" s="1"/>
      <c r="B521" s="6"/>
      <c r="C521" s="6"/>
      <c r="D521" s="6"/>
      <c r="E521" s="6"/>
      <c r="F521" s="6"/>
      <c r="G521" s="6"/>
      <c r="H521" s="6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>
      <c r="A522" s="1"/>
      <c r="B522" s="6"/>
      <c r="C522" s="6"/>
      <c r="D522" s="6"/>
      <c r="E522" s="6"/>
      <c r="F522" s="6"/>
      <c r="G522" s="6"/>
      <c r="H522" s="6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>
      <c r="A523" s="1"/>
      <c r="B523" s="6"/>
      <c r="C523" s="6"/>
      <c r="D523" s="6"/>
      <c r="E523" s="6"/>
      <c r="F523" s="6"/>
      <c r="G523" s="6"/>
      <c r="H523" s="6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>
      <c r="A524" s="1"/>
      <c r="B524" s="6"/>
      <c r="C524" s="6"/>
      <c r="D524" s="6"/>
      <c r="E524" s="6"/>
      <c r="F524" s="6"/>
      <c r="G524" s="6"/>
      <c r="H524" s="6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>
      <c r="A525" s="1"/>
      <c r="B525" s="6"/>
      <c r="C525" s="6"/>
      <c r="D525" s="6"/>
      <c r="E525" s="6"/>
      <c r="F525" s="6"/>
      <c r="G525" s="6"/>
      <c r="H525" s="6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>
      <c r="A526" s="1"/>
      <c r="B526" s="6"/>
      <c r="C526" s="6"/>
      <c r="D526" s="6"/>
      <c r="E526" s="6"/>
      <c r="F526" s="6"/>
      <c r="G526" s="6"/>
      <c r="H526" s="6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>
      <c r="A527" s="1"/>
      <c r="B527" s="6"/>
      <c r="C527" s="6"/>
      <c r="D527" s="6"/>
      <c r="E527" s="6"/>
      <c r="F527" s="6"/>
      <c r="G527" s="6"/>
      <c r="H527" s="6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>
      <c r="A528" s="1"/>
      <c r="B528" s="6"/>
      <c r="C528" s="6"/>
      <c r="D528" s="6"/>
      <c r="E528" s="6"/>
      <c r="F528" s="6"/>
      <c r="G528" s="6"/>
      <c r="H528" s="6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>
      <c r="A529" s="1"/>
      <c r="B529" s="6"/>
      <c r="C529" s="6"/>
      <c r="D529" s="6"/>
      <c r="E529" s="6"/>
      <c r="F529" s="6"/>
      <c r="G529" s="6"/>
      <c r="H529" s="6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>
      <c r="A530" s="1"/>
      <c r="B530" s="6"/>
      <c r="C530" s="6"/>
      <c r="D530" s="6"/>
      <c r="E530" s="6"/>
      <c r="F530" s="6"/>
      <c r="G530" s="6"/>
      <c r="H530" s="6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>
      <c r="A531" s="1"/>
      <c r="B531" s="6"/>
      <c r="C531" s="6"/>
      <c r="D531" s="6"/>
      <c r="E531" s="6"/>
      <c r="F531" s="6"/>
      <c r="G531" s="6"/>
      <c r="H531" s="6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">
    <mergeCell ref="F2:I2"/>
  </mergeCells>
  <dataValidations count="1">
    <dataValidation type="list" allowBlank="1" showErrorMessage="1" sqref="H4:H531" xr:uid="{00000000-0002-0000-0200-000000000000}">
      <formula1>"B2B,B2C"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/>
  </sheetViews>
  <sheetFormatPr defaultColWidth="12.6640625" defaultRowHeight="15.75" customHeight="1"/>
  <cols>
    <col min="3" max="3" width="23.44140625" customWidth="1"/>
    <col min="4" max="4" width="25.88671875" customWidth="1"/>
    <col min="5" max="5" width="11.21875" customWidth="1"/>
    <col min="6" max="7" width="18.44140625" customWidth="1"/>
    <col min="9" max="9" width="15.77734375" customWidth="1"/>
    <col min="10" max="10" width="25.886718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2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2" t="s">
        <v>0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6">
        <v>1</v>
      </c>
      <c r="C4" s="8" t="s">
        <v>16</v>
      </c>
      <c r="D4" s="8" t="s">
        <v>17</v>
      </c>
      <c r="E4" s="8">
        <v>1143151756</v>
      </c>
      <c r="F4" s="9">
        <v>46251</v>
      </c>
      <c r="G4" s="6" t="s">
        <v>18</v>
      </c>
      <c r="H4" s="6" t="s">
        <v>19</v>
      </c>
      <c r="I4" s="6" t="s">
        <v>21</v>
      </c>
      <c r="J4" s="6" t="s">
        <v>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6">
        <v>2</v>
      </c>
      <c r="C5" s="8" t="s">
        <v>16</v>
      </c>
      <c r="D5" s="8" t="s">
        <v>24</v>
      </c>
      <c r="E5" s="8">
        <v>1724127341</v>
      </c>
      <c r="F5" s="9">
        <v>46248</v>
      </c>
      <c r="G5" s="6" t="s">
        <v>25</v>
      </c>
      <c r="H5" s="6" t="s">
        <v>19</v>
      </c>
      <c r="I5" s="6" t="s">
        <v>27</v>
      </c>
      <c r="J5" s="6" t="s">
        <v>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6">
        <v>3</v>
      </c>
      <c r="C6" s="8" t="s">
        <v>16</v>
      </c>
      <c r="D6" s="8" t="s">
        <v>30</v>
      </c>
      <c r="E6" s="8">
        <v>1176938537</v>
      </c>
      <c r="F6" s="9">
        <v>46246</v>
      </c>
      <c r="G6" s="6" t="s">
        <v>32</v>
      </c>
      <c r="H6" s="6" t="s">
        <v>19</v>
      </c>
      <c r="I6" s="6" t="s">
        <v>21</v>
      </c>
      <c r="J6" s="6" t="s">
        <v>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6">
        <v>4</v>
      </c>
      <c r="C7" s="8" t="s">
        <v>16</v>
      </c>
      <c r="D7" s="8" t="s">
        <v>33</v>
      </c>
      <c r="E7" s="8">
        <v>1646616392</v>
      </c>
      <c r="F7" s="9">
        <v>46246</v>
      </c>
      <c r="G7" s="6" t="s">
        <v>35</v>
      </c>
      <c r="H7" s="6" t="s">
        <v>19</v>
      </c>
      <c r="I7" s="6" t="s">
        <v>27</v>
      </c>
      <c r="J7" s="6" t="s">
        <v>28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6">
        <v>5</v>
      </c>
      <c r="C8" s="8" t="s">
        <v>16</v>
      </c>
      <c r="D8" s="8" t="s">
        <v>37</v>
      </c>
      <c r="E8" s="8">
        <v>1761937114</v>
      </c>
      <c r="F8" s="9">
        <v>46239</v>
      </c>
      <c r="G8" s="6" t="s">
        <v>18</v>
      </c>
      <c r="H8" s="6" t="s">
        <v>19</v>
      </c>
      <c r="I8" s="6" t="s">
        <v>21</v>
      </c>
      <c r="J8" s="6" t="s">
        <v>28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6">
        <v>6</v>
      </c>
      <c r="C9" s="8" t="s">
        <v>16</v>
      </c>
      <c r="D9" s="8" t="s">
        <v>39</v>
      </c>
      <c r="E9" s="8">
        <v>1512057439</v>
      </c>
      <c r="F9" s="9">
        <v>46232</v>
      </c>
      <c r="G9" s="6" t="s">
        <v>35</v>
      </c>
      <c r="H9" s="6" t="s">
        <v>19</v>
      </c>
      <c r="I9" s="6" t="s">
        <v>27</v>
      </c>
      <c r="J9" s="6" t="s">
        <v>23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6">
        <v>7</v>
      </c>
      <c r="C10" s="8" t="s">
        <v>16</v>
      </c>
      <c r="D10" s="8" t="s">
        <v>37</v>
      </c>
      <c r="E10" s="8">
        <v>1761937114</v>
      </c>
      <c r="F10" s="9">
        <v>46226</v>
      </c>
      <c r="G10" s="6" t="s">
        <v>40</v>
      </c>
      <c r="H10" s="6" t="s">
        <v>19</v>
      </c>
      <c r="I10" s="6" t="s">
        <v>21</v>
      </c>
      <c r="J10" s="6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6">
        <v>8</v>
      </c>
      <c r="C11" s="8" t="s">
        <v>16</v>
      </c>
      <c r="D11" s="8" t="s">
        <v>43</v>
      </c>
      <c r="E11" s="8">
        <v>1495342035</v>
      </c>
      <c r="F11" s="9">
        <v>46221</v>
      </c>
      <c r="G11" s="6" t="s">
        <v>18</v>
      </c>
      <c r="H11" s="6" t="s">
        <v>19</v>
      </c>
      <c r="I11" s="6" t="s">
        <v>21</v>
      </c>
      <c r="J11" s="6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6">
        <v>9</v>
      </c>
      <c r="C12" s="8" t="s">
        <v>16</v>
      </c>
      <c r="D12" s="8" t="s">
        <v>44</v>
      </c>
      <c r="E12" s="8">
        <v>1638295373</v>
      </c>
      <c r="F12" s="9">
        <v>46220</v>
      </c>
      <c r="G12" s="6" t="s">
        <v>18</v>
      </c>
      <c r="H12" s="6" t="s">
        <v>19</v>
      </c>
      <c r="I12" s="6" t="s">
        <v>27</v>
      </c>
      <c r="J12" s="6" t="s">
        <v>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6">
        <v>10</v>
      </c>
      <c r="C13" s="8" t="s">
        <v>16</v>
      </c>
      <c r="D13" s="8" t="s">
        <v>47</v>
      </c>
      <c r="E13" s="8">
        <v>1819752277</v>
      </c>
      <c r="F13" s="9">
        <v>46203</v>
      </c>
      <c r="G13" s="6" t="s">
        <v>48</v>
      </c>
      <c r="H13" s="6" t="s">
        <v>19</v>
      </c>
      <c r="I13" s="6" t="s">
        <v>21</v>
      </c>
      <c r="J13" s="6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6">
        <v>11</v>
      </c>
      <c r="C14" s="8" t="s">
        <v>16</v>
      </c>
      <c r="D14" s="8" t="s">
        <v>51</v>
      </c>
      <c r="E14" s="8">
        <v>1304572708</v>
      </c>
      <c r="F14" s="9">
        <v>46197</v>
      </c>
      <c r="G14" s="6" t="s">
        <v>52</v>
      </c>
      <c r="H14" s="6" t="s">
        <v>19</v>
      </c>
      <c r="I14" s="6" t="s">
        <v>21</v>
      </c>
      <c r="J14" s="6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6">
        <v>12</v>
      </c>
      <c r="C15" s="8" t="s">
        <v>16</v>
      </c>
      <c r="D15" s="8" t="s">
        <v>54</v>
      </c>
      <c r="E15" s="8">
        <v>1926099029</v>
      </c>
      <c r="F15" s="9">
        <v>46192</v>
      </c>
      <c r="G15" s="6" t="s">
        <v>18</v>
      </c>
      <c r="H15" s="6" t="s">
        <v>19</v>
      </c>
      <c r="I15" s="6" t="s">
        <v>27</v>
      </c>
      <c r="J15" s="6" t="s">
        <v>23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6">
        <v>13</v>
      </c>
      <c r="C16" s="8" t="s">
        <v>16</v>
      </c>
      <c r="D16" s="8" t="s">
        <v>56</v>
      </c>
      <c r="E16" s="8">
        <v>1673071125</v>
      </c>
      <c r="F16" s="9">
        <v>46148</v>
      </c>
      <c r="G16" s="6" t="s">
        <v>18</v>
      </c>
      <c r="H16" s="6" t="s">
        <v>19</v>
      </c>
      <c r="I16" s="6" t="s">
        <v>21</v>
      </c>
      <c r="J16" s="6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6">
        <v>14</v>
      </c>
      <c r="C17" s="8" t="s">
        <v>16</v>
      </c>
      <c r="D17" s="8" t="s">
        <v>56</v>
      </c>
      <c r="E17" s="8">
        <v>1673071125</v>
      </c>
      <c r="F17" s="9">
        <v>46148</v>
      </c>
      <c r="G17" s="6" t="s">
        <v>58</v>
      </c>
      <c r="H17" s="6" t="s">
        <v>19</v>
      </c>
      <c r="I17" s="6" t="s">
        <v>21</v>
      </c>
      <c r="J17" s="6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6">
        <v>15</v>
      </c>
      <c r="C18" s="8" t="s">
        <v>16</v>
      </c>
      <c r="D18" s="8" t="s">
        <v>60</v>
      </c>
      <c r="E18" s="8">
        <v>1448409374</v>
      </c>
      <c r="F18" s="9">
        <v>46128</v>
      </c>
      <c r="G18" s="6" t="s">
        <v>52</v>
      </c>
      <c r="H18" s="6" t="s">
        <v>19</v>
      </c>
      <c r="I18" s="6" t="s">
        <v>21</v>
      </c>
      <c r="J18" s="6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6">
        <v>16</v>
      </c>
      <c r="C19" s="8" t="s">
        <v>16</v>
      </c>
      <c r="D19" s="8" t="s">
        <v>63</v>
      </c>
      <c r="E19" s="8">
        <v>1659797309</v>
      </c>
      <c r="F19" s="9">
        <v>46128</v>
      </c>
      <c r="G19" s="6" t="s">
        <v>48</v>
      </c>
      <c r="H19" s="6" t="s">
        <v>19</v>
      </c>
      <c r="I19" s="6" t="s">
        <v>21</v>
      </c>
      <c r="J19" s="6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6">
        <v>17</v>
      </c>
      <c r="C20" s="8" t="s">
        <v>16</v>
      </c>
      <c r="D20" s="8" t="s">
        <v>60</v>
      </c>
      <c r="E20" s="8">
        <v>1448409374</v>
      </c>
      <c r="F20" s="9">
        <v>46125</v>
      </c>
      <c r="G20" s="6" t="s">
        <v>52</v>
      </c>
      <c r="H20" s="6" t="s">
        <v>19</v>
      </c>
      <c r="I20" s="6" t="s">
        <v>21</v>
      </c>
      <c r="J20" s="6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6">
        <v>18</v>
      </c>
      <c r="C21" s="8" t="s">
        <v>16</v>
      </c>
      <c r="D21" s="8" t="s">
        <v>66</v>
      </c>
      <c r="E21" s="8">
        <v>1937988531</v>
      </c>
      <c r="F21" s="9">
        <v>46125</v>
      </c>
      <c r="G21" s="6" t="s">
        <v>67</v>
      </c>
      <c r="H21" s="6" t="s">
        <v>19</v>
      </c>
      <c r="I21" s="6" t="s">
        <v>21</v>
      </c>
      <c r="J21" s="6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6">
        <v>19</v>
      </c>
      <c r="C22" s="8" t="s">
        <v>16</v>
      </c>
      <c r="D22" s="8" t="s">
        <v>70</v>
      </c>
      <c r="E22" s="8">
        <v>1277118452</v>
      </c>
      <c r="F22" s="9">
        <v>46118</v>
      </c>
      <c r="G22" s="6" t="s">
        <v>18</v>
      </c>
      <c r="H22" s="6" t="s">
        <v>19</v>
      </c>
      <c r="I22" s="6" t="s">
        <v>21</v>
      </c>
      <c r="J22" s="6" t="s">
        <v>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6">
        <v>20</v>
      </c>
      <c r="C23" s="8" t="s">
        <v>16</v>
      </c>
      <c r="D23" s="8" t="s">
        <v>63</v>
      </c>
      <c r="E23" s="8">
        <v>1659797309</v>
      </c>
      <c r="F23" s="9">
        <v>46118</v>
      </c>
      <c r="G23" s="6" t="s">
        <v>18</v>
      </c>
      <c r="H23" s="6" t="s">
        <v>19</v>
      </c>
      <c r="I23" s="6" t="s">
        <v>21</v>
      </c>
      <c r="J23" s="6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6">
        <v>21</v>
      </c>
      <c r="C24" s="8" t="s">
        <v>16</v>
      </c>
      <c r="D24" s="8" t="s">
        <v>73</v>
      </c>
      <c r="E24" s="8">
        <v>1223869230</v>
      </c>
      <c r="F24" s="9">
        <v>46294</v>
      </c>
      <c r="G24" s="6" t="s">
        <v>74</v>
      </c>
      <c r="H24" s="6" t="s">
        <v>19</v>
      </c>
      <c r="I24" s="6" t="s">
        <v>27</v>
      </c>
      <c r="J24" s="6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6">
        <v>22</v>
      </c>
      <c r="C25" s="8" t="s">
        <v>16</v>
      </c>
      <c r="D25" s="8" t="s">
        <v>76</v>
      </c>
      <c r="E25" s="8">
        <v>1772021930</v>
      </c>
      <c r="F25" s="9">
        <v>46287</v>
      </c>
      <c r="G25" s="6" t="s">
        <v>74</v>
      </c>
      <c r="H25" s="6" t="s">
        <v>19</v>
      </c>
      <c r="I25" s="6" t="s">
        <v>27</v>
      </c>
      <c r="J25" s="6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6">
        <v>23</v>
      </c>
      <c r="C26" s="8" t="s">
        <v>16</v>
      </c>
      <c r="D26" s="8" t="s">
        <v>78</v>
      </c>
      <c r="E26" s="8">
        <v>1150824214</v>
      </c>
      <c r="F26" s="9">
        <v>46286</v>
      </c>
      <c r="G26" s="6" t="s">
        <v>74</v>
      </c>
      <c r="H26" s="6" t="s">
        <v>19</v>
      </c>
      <c r="I26" s="6" t="s">
        <v>21</v>
      </c>
      <c r="J26" s="6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6">
        <v>24</v>
      </c>
      <c r="C27" s="8" t="s">
        <v>16</v>
      </c>
      <c r="D27" s="8" t="s">
        <v>80</v>
      </c>
      <c r="E27" s="8">
        <v>1450036391</v>
      </c>
      <c r="F27" s="9">
        <v>46281</v>
      </c>
      <c r="G27" s="6" t="s">
        <v>74</v>
      </c>
      <c r="H27" s="6" t="s">
        <v>19</v>
      </c>
      <c r="I27" s="6" t="s">
        <v>27</v>
      </c>
      <c r="J27" s="6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6">
        <v>25</v>
      </c>
      <c r="C28" s="8" t="s">
        <v>16</v>
      </c>
      <c r="D28" s="8" t="s">
        <v>80</v>
      </c>
      <c r="E28" s="8">
        <v>1450036391</v>
      </c>
      <c r="F28" s="9">
        <v>46281</v>
      </c>
      <c r="G28" s="6" t="s">
        <v>18</v>
      </c>
      <c r="H28" s="6" t="s">
        <v>19</v>
      </c>
      <c r="I28" s="10" t="s">
        <v>27</v>
      </c>
      <c r="J28" s="6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4">
      <c r="A29" s="3"/>
      <c r="B29" s="6">
        <v>26</v>
      </c>
      <c r="C29" s="8" t="s">
        <v>16</v>
      </c>
      <c r="D29" s="8" t="s">
        <v>84</v>
      </c>
      <c r="E29" s="8">
        <v>1895390937</v>
      </c>
      <c r="F29" s="9">
        <v>46278</v>
      </c>
      <c r="G29" s="6" t="s">
        <v>74</v>
      </c>
      <c r="H29" s="6" t="s">
        <v>19</v>
      </c>
      <c r="I29" s="6" t="s">
        <v>21</v>
      </c>
      <c r="J29" s="6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4">
      <c r="A30" s="3"/>
      <c r="B30" s="6">
        <v>27</v>
      </c>
      <c r="C30" s="8" t="s">
        <v>16</v>
      </c>
      <c r="D30" s="8" t="s">
        <v>86</v>
      </c>
      <c r="E30" s="8">
        <v>1973617996</v>
      </c>
      <c r="F30" s="9">
        <v>46266</v>
      </c>
      <c r="G30" s="6" t="s">
        <v>18</v>
      </c>
      <c r="H30" s="6" t="s">
        <v>19</v>
      </c>
      <c r="I30" s="6" t="s">
        <v>21</v>
      </c>
      <c r="J30" s="6" t="s">
        <v>23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2">
      <c r="A31" s="3"/>
      <c r="B31" s="14"/>
      <c r="C31" s="14"/>
      <c r="D31" s="14"/>
      <c r="E31" s="14"/>
      <c r="F31" s="14"/>
      <c r="G31" s="14"/>
      <c r="H31" s="14"/>
      <c r="I31" s="1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2">
      <c r="A32" s="3"/>
      <c r="B32" s="14"/>
      <c r="C32" s="14"/>
      <c r="D32" s="14"/>
      <c r="E32" s="14"/>
      <c r="F32" s="14"/>
      <c r="G32" s="14"/>
      <c r="H32" s="14"/>
      <c r="I32" s="1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2">
      <c r="A33" s="3"/>
      <c r="B33" s="14"/>
      <c r="C33" s="14"/>
      <c r="D33" s="14"/>
      <c r="E33" s="14"/>
      <c r="F33" s="14"/>
      <c r="G33" s="14"/>
      <c r="H33" s="14"/>
      <c r="I33" s="1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2">
      <c r="A34" s="3"/>
      <c r="B34" s="14"/>
      <c r="C34" s="14"/>
      <c r="D34" s="14"/>
      <c r="E34" s="14"/>
      <c r="F34" s="14"/>
      <c r="G34" s="14"/>
      <c r="H34" s="14"/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2">
      <c r="A35" s="3"/>
      <c r="B35" s="14"/>
      <c r="C35" s="14"/>
      <c r="D35" s="14"/>
      <c r="E35" s="14"/>
      <c r="F35" s="14"/>
      <c r="G35" s="14"/>
      <c r="H35" s="14"/>
      <c r="I35" s="1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2">
      <c r="A36" s="3"/>
      <c r="B36" s="14"/>
      <c r="C36" s="14"/>
      <c r="D36" s="14"/>
      <c r="E36" s="14"/>
      <c r="F36" s="14"/>
      <c r="G36" s="14"/>
      <c r="H36" s="14"/>
      <c r="I36" s="1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2">
      <c r="A37" s="3"/>
      <c r="B37" s="14"/>
      <c r="C37" s="14"/>
      <c r="D37" s="14"/>
      <c r="E37" s="14"/>
      <c r="F37" s="14"/>
      <c r="G37" s="14"/>
      <c r="H37" s="14"/>
      <c r="I37" s="1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2">
      <c r="A38" s="3"/>
      <c r="B38" s="14"/>
      <c r="C38" s="14"/>
      <c r="D38" s="14"/>
      <c r="E38" s="14"/>
      <c r="F38" s="14"/>
      <c r="G38" s="14"/>
      <c r="H38" s="14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2">
      <c r="A39" s="3"/>
      <c r="B39" s="14"/>
      <c r="C39" s="14"/>
      <c r="D39" s="14"/>
      <c r="E39" s="14"/>
      <c r="F39" s="14"/>
      <c r="G39" s="14"/>
      <c r="H39" s="14"/>
      <c r="I39" s="1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2">
      <c r="A40" s="3"/>
      <c r="B40" s="14"/>
      <c r="C40" s="14"/>
      <c r="D40" s="14"/>
      <c r="E40" s="14"/>
      <c r="F40" s="14"/>
      <c r="G40" s="14"/>
      <c r="H40" s="14"/>
      <c r="I40" s="1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2">
      <c r="A41" s="3"/>
      <c r="B41" s="14"/>
      <c r="C41" s="14"/>
      <c r="D41" s="14"/>
      <c r="E41" s="14"/>
      <c r="F41" s="14"/>
      <c r="G41" s="14"/>
      <c r="H41" s="14"/>
      <c r="I41" s="1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2">
      <c r="A42" s="3"/>
      <c r="B42" s="14"/>
      <c r="C42" s="14"/>
      <c r="D42" s="14"/>
      <c r="E42" s="14"/>
      <c r="F42" s="14"/>
      <c r="G42" s="14"/>
      <c r="H42" s="14"/>
      <c r="I42" s="1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2">
      <c r="A43" s="3"/>
      <c r="B43" s="14"/>
      <c r="C43" s="14"/>
      <c r="D43" s="14"/>
      <c r="E43" s="14"/>
      <c r="F43" s="14"/>
      <c r="G43" s="14"/>
      <c r="H43" s="14"/>
      <c r="I43" s="1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2">
      <c r="A44" s="3"/>
      <c r="B44" s="14"/>
      <c r="C44" s="14"/>
      <c r="D44" s="14"/>
      <c r="E44" s="14"/>
      <c r="F44" s="14"/>
      <c r="G44" s="14"/>
      <c r="H44" s="14"/>
      <c r="I44" s="1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2">
      <c r="A45" s="3"/>
      <c r="B45" s="14"/>
      <c r="C45" s="14"/>
      <c r="D45" s="14"/>
      <c r="E45" s="14"/>
      <c r="F45" s="14"/>
      <c r="G45" s="14"/>
      <c r="H45" s="14"/>
      <c r="I45" s="1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2">
      <c r="A46" s="3"/>
      <c r="B46" s="14"/>
      <c r="C46" s="14"/>
      <c r="D46" s="14"/>
      <c r="E46" s="14"/>
      <c r="F46" s="14"/>
      <c r="G46" s="14"/>
      <c r="H46" s="14"/>
      <c r="I46" s="1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2">
      <c r="A47" s="3"/>
      <c r="B47" s="14"/>
      <c r="C47" s="14"/>
      <c r="D47" s="14"/>
      <c r="E47" s="14"/>
      <c r="F47" s="14"/>
      <c r="G47" s="14"/>
      <c r="H47" s="14"/>
      <c r="I47" s="1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2">
      <c r="A48" s="3"/>
      <c r="B48" s="14"/>
      <c r="C48" s="14"/>
      <c r="D48" s="14"/>
      <c r="E48" s="14"/>
      <c r="F48" s="14"/>
      <c r="G48" s="14"/>
      <c r="H48" s="14"/>
      <c r="I48" s="1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2">
      <c r="A49" s="3"/>
      <c r="B49" s="14"/>
      <c r="C49" s="14"/>
      <c r="D49" s="14"/>
      <c r="E49" s="14"/>
      <c r="F49" s="14"/>
      <c r="G49" s="14"/>
      <c r="H49" s="14"/>
      <c r="I49" s="1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2">
      <c r="A50" s="3"/>
      <c r="B50" s="14"/>
      <c r="C50" s="14"/>
      <c r="D50" s="14"/>
      <c r="E50" s="14"/>
      <c r="F50" s="14"/>
      <c r="G50" s="14"/>
      <c r="H50" s="14"/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2">
      <c r="A51" s="3"/>
      <c r="B51" s="14"/>
      <c r="C51" s="14"/>
      <c r="D51" s="14"/>
      <c r="E51" s="14"/>
      <c r="F51" s="14"/>
      <c r="G51" s="14"/>
      <c r="H51" s="14"/>
      <c r="I51" s="1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2">
      <c r="A52" s="3"/>
      <c r="B52" s="14"/>
      <c r="C52" s="14"/>
      <c r="D52" s="14"/>
      <c r="E52" s="14"/>
      <c r="F52" s="14"/>
      <c r="G52" s="14"/>
      <c r="H52" s="14"/>
      <c r="I52" s="1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2">
      <c r="A53" s="3"/>
      <c r="B53" s="14"/>
      <c r="C53" s="14"/>
      <c r="D53" s="14"/>
      <c r="E53" s="14"/>
      <c r="F53" s="14"/>
      <c r="G53" s="14"/>
      <c r="H53" s="14"/>
      <c r="I53" s="1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2">
      <c r="A54" s="3"/>
      <c r="B54" s="14"/>
      <c r="C54" s="14"/>
      <c r="D54" s="14"/>
      <c r="E54" s="14"/>
      <c r="F54" s="14"/>
      <c r="G54" s="14"/>
      <c r="H54" s="14"/>
      <c r="I54" s="1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2">
      <c r="A55" s="3"/>
      <c r="B55" s="14"/>
      <c r="C55" s="14"/>
      <c r="D55" s="14"/>
      <c r="E55" s="14"/>
      <c r="F55" s="14"/>
      <c r="G55" s="14"/>
      <c r="H55" s="14"/>
      <c r="I55" s="1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2">
      <c r="A56" s="3"/>
      <c r="B56" s="14"/>
      <c r="C56" s="14"/>
      <c r="D56" s="14"/>
      <c r="E56" s="14"/>
      <c r="F56" s="14"/>
      <c r="G56" s="14"/>
      <c r="H56" s="14"/>
      <c r="I56" s="1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>
      <c r="A57" s="3"/>
      <c r="B57" s="14"/>
      <c r="C57" s="14"/>
      <c r="D57" s="14"/>
      <c r="E57" s="14"/>
      <c r="F57" s="14"/>
      <c r="G57" s="14"/>
      <c r="H57" s="14"/>
      <c r="I57" s="1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>
      <c r="A58" s="3"/>
      <c r="B58" s="14"/>
      <c r="C58" s="14"/>
      <c r="D58" s="14"/>
      <c r="E58" s="14"/>
      <c r="F58" s="14"/>
      <c r="G58" s="14"/>
      <c r="H58" s="14"/>
      <c r="I58" s="1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>
      <c r="A59" s="3"/>
      <c r="B59" s="14"/>
      <c r="C59" s="14"/>
      <c r="D59" s="14"/>
      <c r="E59" s="14"/>
      <c r="F59" s="14"/>
      <c r="G59" s="14"/>
      <c r="H59" s="14"/>
      <c r="I59" s="1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>
      <c r="A60" s="3"/>
      <c r="B60" s="14"/>
      <c r="C60" s="14"/>
      <c r="D60" s="14"/>
      <c r="E60" s="14"/>
      <c r="F60" s="14"/>
      <c r="G60" s="14"/>
      <c r="H60" s="14"/>
      <c r="I60" s="1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>
      <c r="A61" s="3"/>
      <c r="B61" s="14"/>
      <c r="C61" s="14"/>
      <c r="D61" s="14"/>
      <c r="E61" s="14"/>
      <c r="F61" s="14"/>
      <c r="G61" s="14"/>
      <c r="H61" s="14"/>
      <c r="I61" s="1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>
      <c r="A62" s="3"/>
      <c r="B62" s="14"/>
      <c r="C62" s="14"/>
      <c r="D62" s="14"/>
      <c r="E62" s="14"/>
      <c r="F62" s="14"/>
      <c r="G62" s="14"/>
      <c r="H62" s="14"/>
      <c r="I62" s="1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>
      <c r="A63" s="3"/>
      <c r="B63" s="14"/>
      <c r="C63" s="14"/>
      <c r="D63" s="14"/>
      <c r="E63" s="14"/>
      <c r="F63" s="14"/>
      <c r="G63" s="14"/>
      <c r="H63" s="14"/>
      <c r="I63" s="1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>
      <c r="A64" s="3"/>
      <c r="B64" s="14"/>
      <c r="C64" s="14"/>
      <c r="D64" s="14"/>
      <c r="E64" s="14"/>
      <c r="F64" s="14"/>
      <c r="G64" s="14"/>
      <c r="H64" s="14"/>
      <c r="I64" s="1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>
      <c r="A65" s="3"/>
      <c r="B65" s="14"/>
      <c r="C65" s="14"/>
      <c r="D65" s="14"/>
      <c r="E65" s="14"/>
      <c r="F65" s="14"/>
      <c r="G65" s="14"/>
      <c r="H65" s="14"/>
      <c r="I65" s="1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>
      <c r="A66" s="3"/>
      <c r="B66" s="14"/>
      <c r="C66" s="14"/>
      <c r="D66" s="14"/>
      <c r="E66" s="14"/>
      <c r="F66" s="14"/>
      <c r="G66" s="14"/>
      <c r="H66" s="14"/>
      <c r="I66" s="1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>
      <c r="A67" s="3"/>
      <c r="B67" s="14"/>
      <c r="C67" s="14"/>
      <c r="D67" s="14"/>
      <c r="E67" s="14"/>
      <c r="F67" s="14"/>
      <c r="G67" s="14"/>
      <c r="H67" s="14"/>
      <c r="I67" s="1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>
      <c r="A68" s="3"/>
      <c r="B68" s="14"/>
      <c r="C68" s="14"/>
      <c r="D68" s="14"/>
      <c r="E68" s="14"/>
      <c r="F68" s="14"/>
      <c r="G68" s="14"/>
      <c r="H68" s="14"/>
      <c r="I68" s="1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>
      <c r="A69" s="3"/>
      <c r="B69" s="14"/>
      <c r="C69" s="14"/>
      <c r="D69" s="14"/>
      <c r="E69" s="14"/>
      <c r="F69" s="14"/>
      <c r="G69" s="14"/>
      <c r="H69" s="14"/>
      <c r="I69" s="1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>
      <c r="A70" s="3"/>
      <c r="B70" s="14"/>
      <c r="C70" s="14"/>
      <c r="D70" s="14"/>
      <c r="E70" s="14"/>
      <c r="F70" s="14"/>
      <c r="G70" s="14"/>
      <c r="H70" s="14"/>
      <c r="I70" s="1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>
      <c r="A71" s="3"/>
      <c r="B71" s="14"/>
      <c r="C71" s="14"/>
      <c r="D71" s="14"/>
      <c r="E71" s="14"/>
      <c r="F71" s="14"/>
      <c r="G71" s="14"/>
      <c r="H71" s="14"/>
      <c r="I71" s="1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>
      <c r="A72" s="3"/>
      <c r="B72" s="14"/>
      <c r="C72" s="14"/>
      <c r="D72" s="14"/>
      <c r="E72" s="14"/>
      <c r="F72" s="14"/>
      <c r="G72" s="14"/>
      <c r="H72" s="14"/>
      <c r="I72" s="1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>
      <c r="A73" s="3"/>
      <c r="B73" s="14"/>
      <c r="C73" s="14"/>
      <c r="D73" s="14"/>
      <c r="E73" s="14"/>
      <c r="F73" s="14"/>
      <c r="G73" s="14"/>
      <c r="H73" s="14"/>
      <c r="I73" s="1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>
      <c r="A74" s="3"/>
      <c r="B74" s="14"/>
      <c r="C74" s="14"/>
      <c r="D74" s="14"/>
      <c r="E74" s="14"/>
      <c r="F74" s="14"/>
      <c r="G74" s="14"/>
      <c r="H74" s="14"/>
      <c r="I74" s="1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>
      <c r="A75" s="3"/>
      <c r="B75" s="14"/>
      <c r="C75" s="14"/>
      <c r="D75" s="14"/>
      <c r="E75" s="14"/>
      <c r="F75" s="14"/>
      <c r="G75" s="14"/>
      <c r="H75" s="14"/>
      <c r="I75" s="1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>
      <c r="A76" s="3"/>
      <c r="B76" s="14"/>
      <c r="C76" s="14"/>
      <c r="D76" s="14"/>
      <c r="E76" s="14"/>
      <c r="F76" s="14"/>
      <c r="G76" s="14"/>
      <c r="H76" s="14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>
      <c r="A77" s="3"/>
      <c r="B77" s="14"/>
      <c r="C77" s="14"/>
      <c r="D77" s="14"/>
      <c r="E77" s="14"/>
      <c r="F77" s="14"/>
      <c r="G77" s="14"/>
      <c r="H77" s="14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>
      <c r="A78" s="3"/>
      <c r="B78" s="14"/>
      <c r="C78" s="14"/>
      <c r="D78" s="14"/>
      <c r="E78" s="14"/>
      <c r="F78" s="14"/>
      <c r="G78" s="14"/>
      <c r="H78" s="14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>
      <c r="A79" s="3"/>
      <c r="B79" s="14"/>
      <c r="C79" s="14"/>
      <c r="D79" s="14"/>
      <c r="E79" s="14"/>
      <c r="F79" s="14"/>
      <c r="G79" s="14"/>
      <c r="H79" s="14"/>
      <c r="I79" s="1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>
      <c r="A80" s="3"/>
      <c r="B80" s="14"/>
      <c r="C80" s="14"/>
      <c r="D80" s="14"/>
      <c r="E80" s="14"/>
      <c r="F80" s="14"/>
      <c r="G80" s="14"/>
      <c r="H80" s="14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3"/>
      <c r="B81" s="14"/>
      <c r="C81" s="14"/>
      <c r="D81" s="14"/>
      <c r="E81" s="14"/>
      <c r="F81" s="14"/>
      <c r="G81" s="14"/>
      <c r="H81" s="14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>
      <c r="A82" s="3"/>
      <c r="B82" s="14"/>
      <c r="C82" s="14"/>
      <c r="D82" s="14"/>
      <c r="E82" s="14"/>
      <c r="F82" s="14"/>
      <c r="G82" s="14"/>
      <c r="H82" s="14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3"/>
      <c r="B83" s="14"/>
      <c r="C83" s="14"/>
      <c r="D83" s="14"/>
      <c r="E83" s="14"/>
      <c r="F83" s="14"/>
      <c r="G83" s="14"/>
      <c r="H83" s="14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>
      <c r="A84" s="3"/>
      <c r="B84" s="14"/>
      <c r="C84" s="14"/>
      <c r="D84" s="14"/>
      <c r="E84" s="14"/>
      <c r="F84" s="14"/>
      <c r="G84" s="14"/>
      <c r="H84" s="14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>
      <c r="A85" s="3"/>
      <c r="B85" s="14"/>
      <c r="C85" s="14"/>
      <c r="D85" s="14"/>
      <c r="E85" s="14"/>
      <c r="F85" s="14"/>
      <c r="G85" s="14"/>
      <c r="H85" s="14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>
      <c r="A86" s="3"/>
      <c r="B86" s="14"/>
      <c r="C86" s="14"/>
      <c r="D86" s="14"/>
      <c r="E86" s="14"/>
      <c r="F86" s="14"/>
      <c r="G86" s="14"/>
      <c r="H86" s="14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>
      <c r="A87" s="3"/>
      <c r="B87" s="14"/>
      <c r="C87" s="14"/>
      <c r="D87" s="14"/>
      <c r="E87" s="14"/>
      <c r="F87" s="14"/>
      <c r="G87" s="14"/>
      <c r="H87" s="14"/>
      <c r="I87" s="1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>
      <c r="A88" s="3"/>
      <c r="B88" s="14"/>
      <c r="C88" s="14"/>
      <c r="D88" s="14"/>
      <c r="E88" s="14"/>
      <c r="F88" s="14"/>
      <c r="G88" s="14"/>
      <c r="H88" s="14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>
      <c r="A89" s="3"/>
      <c r="B89" s="14"/>
      <c r="C89" s="14"/>
      <c r="D89" s="14"/>
      <c r="E89" s="14"/>
      <c r="F89" s="14"/>
      <c r="G89" s="14"/>
      <c r="H89" s="14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>
      <c r="A90" s="3"/>
      <c r="B90" s="14"/>
      <c r="C90" s="14"/>
      <c r="D90" s="14"/>
      <c r="E90" s="14"/>
      <c r="F90" s="14"/>
      <c r="G90" s="14"/>
      <c r="H90" s="14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3"/>
      <c r="B91" s="14"/>
      <c r="C91" s="14"/>
      <c r="D91" s="14"/>
      <c r="E91" s="14"/>
      <c r="F91" s="14"/>
      <c r="G91" s="14"/>
      <c r="H91" s="14"/>
      <c r="I91" s="1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>
      <c r="A92" s="3"/>
      <c r="B92" s="14"/>
      <c r="C92" s="14"/>
      <c r="D92" s="14"/>
      <c r="E92" s="14"/>
      <c r="F92" s="14"/>
      <c r="G92" s="14"/>
      <c r="H92" s="14"/>
      <c r="I92" s="1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>
      <c r="A93" s="3"/>
      <c r="B93" s="14"/>
      <c r="C93" s="14"/>
      <c r="D93" s="14"/>
      <c r="E93" s="14"/>
      <c r="F93" s="14"/>
      <c r="G93" s="14"/>
      <c r="H93" s="14"/>
      <c r="I93" s="1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>
      <c r="A94" s="3"/>
      <c r="B94" s="14"/>
      <c r="C94" s="14"/>
      <c r="D94" s="14"/>
      <c r="E94" s="14"/>
      <c r="F94" s="14"/>
      <c r="G94" s="14"/>
      <c r="H94" s="14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>
      <c r="A95" s="3"/>
      <c r="B95" s="14"/>
      <c r="C95" s="14"/>
      <c r="D95" s="14"/>
      <c r="E95" s="14"/>
      <c r="F95" s="14"/>
      <c r="G95" s="14"/>
      <c r="H95" s="14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>
      <c r="A96" s="3"/>
      <c r="B96" s="14"/>
      <c r="C96" s="14"/>
      <c r="D96" s="14"/>
      <c r="E96" s="14"/>
      <c r="F96" s="14"/>
      <c r="G96" s="14"/>
      <c r="H96" s="14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>
      <c r="A97" s="3"/>
      <c r="B97" s="14"/>
      <c r="C97" s="14"/>
      <c r="D97" s="14"/>
      <c r="E97" s="14"/>
      <c r="F97" s="14"/>
      <c r="G97" s="14"/>
      <c r="H97" s="14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>
      <c r="A98" s="3"/>
      <c r="B98" s="14"/>
      <c r="C98" s="14"/>
      <c r="D98" s="14"/>
      <c r="E98" s="14"/>
      <c r="F98" s="14"/>
      <c r="G98" s="14"/>
      <c r="H98" s="14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>
      <c r="A99" s="3"/>
      <c r="B99" s="14"/>
      <c r="C99" s="14"/>
      <c r="D99" s="14"/>
      <c r="E99" s="14"/>
      <c r="F99" s="14"/>
      <c r="G99" s="14"/>
      <c r="H99" s="14"/>
      <c r="I99" s="1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1">
    <mergeCell ref="F2:I2"/>
  </mergeCells>
  <dataValidations count="1">
    <dataValidation type="list" allowBlank="1" showErrorMessage="1" sqref="H4:H99" xr:uid="{00000000-0002-0000-0300-000000000000}">
      <formula1>"B2B,B2C"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5.77734375" customWidth="1"/>
    <col min="2" max="2" width="5.109375" customWidth="1"/>
    <col min="3" max="3" width="7.88671875" customWidth="1"/>
    <col min="4" max="4" width="50.33203125" customWidth="1"/>
    <col min="7" max="7" width="27.77734375" customWidth="1"/>
    <col min="9" max="9" width="26" customWidth="1"/>
    <col min="10" max="10" width="25.886718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2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18" t="s">
        <v>0</v>
      </c>
      <c r="C3" s="18" t="s">
        <v>3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10">
        <v>1</v>
      </c>
      <c r="C4" s="8" t="s">
        <v>182</v>
      </c>
      <c r="D4" s="8" t="s">
        <v>183</v>
      </c>
      <c r="E4" s="8">
        <v>1599830445</v>
      </c>
      <c r="F4" s="8" t="s">
        <v>184</v>
      </c>
      <c r="G4" s="8" t="s">
        <v>185</v>
      </c>
      <c r="H4" s="10" t="s">
        <v>19</v>
      </c>
      <c r="I4" s="19" t="s">
        <v>186</v>
      </c>
      <c r="J4" s="14" t="s">
        <v>28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10">
        <v>2</v>
      </c>
      <c r="C5" s="8" t="s">
        <v>182</v>
      </c>
      <c r="D5" s="8" t="s">
        <v>188</v>
      </c>
      <c r="E5" s="8">
        <v>1433891952</v>
      </c>
      <c r="F5" s="8" t="s">
        <v>189</v>
      </c>
      <c r="G5" s="8" t="s">
        <v>185</v>
      </c>
      <c r="H5" s="10" t="s">
        <v>19</v>
      </c>
      <c r="I5" s="19" t="s">
        <v>186</v>
      </c>
      <c r="J5" s="14" t="s">
        <v>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10">
        <v>3</v>
      </c>
      <c r="C6" s="8" t="s">
        <v>182</v>
      </c>
      <c r="D6" s="8" t="s">
        <v>191</v>
      </c>
      <c r="E6" s="8">
        <v>1147531131</v>
      </c>
      <c r="F6" s="8" t="s">
        <v>189</v>
      </c>
      <c r="G6" s="8" t="s">
        <v>192</v>
      </c>
      <c r="H6" s="10" t="s">
        <v>19</v>
      </c>
      <c r="I6" s="19" t="s">
        <v>193</v>
      </c>
      <c r="J6" s="14" t="s">
        <v>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10">
        <v>4</v>
      </c>
      <c r="C7" s="8" t="s">
        <v>182</v>
      </c>
      <c r="D7" s="8" t="s">
        <v>194</v>
      </c>
      <c r="E7" s="8">
        <v>1438989417</v>
      </c>
      <c r="F7" s="8" t="s">
        <v>195</v>
      </c>
      <c r="G7" s="8" t="s">
        <v>192</v>
      </c>
      <c r="H7" s="10" t="s">
        <v>19</v>
      </c>
      <c r="I7" s="19" t="s">
        <v>186</v>
      </c>
      <c r="J7" s="14" t="s">
        <v>28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10">
        <v>5</v>
      </c>
      <c r="C8" s="8" t="s">
        <v>182</v>
      </c>
      <c r="D8" s="8" t="s">
        <v>197</v>
      </c>
      <c r="E8" s="8">
        <v>1896217385</v>
      </c>
      <c r="F8" s="8" t="s">
        <v>198</v>
      </c>
      <c r="G8" s="8" t="s">
        <v>192</v>
      </c>
      <c r="H8" s="10" t="s">
        <v>19</v>
      </c>
      <c r="I8" s="19" t="s">
        <v>193</v>
      </c>
      <c r="J8" s="14" t="s">
        <v>28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10">
        <v>6</v>
      </c>
      <c r="C9" s="8" t="s">
        <v>182</v>
      </c>
      <c r="D9" s="8" t="s">
        <v>199</v>
      </c>
      <c r="E9" s="8">
        <v>1582492512</v>
      </c>
      <c r="F9" s="8" t="s">
        <v>198</v>
      </c>
      <c r="G9" s="8" t="s">
        <v>192</v>
      </c>
      <c r="H9" s="10" t="s">
        <v>19</v>
      </c>
      <c r="I9" s="19" t="s">
        <v>186</v>
      </c>
      <c r="J9" s="14" t="s">
        <v>28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10">
        <v>7</v>
      </c>
      <c r="C10" s="8" t="s">
        <v>182</v>
      </c>
      <c r="D10" s="8" t="s">
        <v>201</v>
      </c>
      <c r="E10" s="8">
        <v>1000058530</v>
      </c>
      <c r="F10" s="8" t="s">
        <v>198</v>
      </c>
      <c r="G10" s="8" t="s">
        <v>192</v>
      </c>
      <c r="H10" s="10" t="s">
        <v>19</v>
      </c>
      <c r="I10" s="19" t="s">
        <v>202</v>
      </c>
      <c r="J10" s="14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10">
        <v>8</v>
      </c>
      <c r="C11" s="8" t="s">
        <v>182</v>
      </c>
      <c r="D11" s="8" t="s">
        <v>204</v>
      </c>
      <c r="E11" s="8">
        <v>1509137621</v>
      </c>
      <c r="F11" s="8" t="s">
        <v>198</v>
      </c>
      <c r="G11" s="8" t="s">
        <v>192</v>
      </c>
      <c r="H11" s="10" t="s">
        <v>19</v>
      </c>
      <c r="I11" s="19" t="s">
        <v>193</v>
      </c>
      <c r="J11" s="14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10">
        <v>9</v>
      </c>
      <c r="C12" s="8" t="s">
        <v>182</v>
      </c>
      <c r="D12" s="8" t="s">
        <v>205</v>
      </c>
      <c r="E12" s="8">
        <v>1454741637</v>
      </c>
      <c r="F12" s="8" t="s">
        <v>198</v>
      </c>
      <c r="G12" s="8" t="s">
        <v>185</v>
      </c>
      <c r="H12" s="10" t="s">
        <v>19</v>
      </c>
      <c r="I12" s="19" t="s">
        <v>186</v>
      </c>
      <c r="J12" s="14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10">
        <v>10</v>
      </c>
      <c r="C13" s="8" t="s">
        <v>182</v>
      </c>
      <c r="D13" s="8" t="s">
        <v>207</v>
      </c>
      <c r="E13" s="8">
        <v>1849113146</v>
      </c>
      <c r="F13" s="8" t="s">
        <v>208</v>
      </c>
      <c r="G13" s="8" t="s">
        <v>185</v>
      </c>
      <c r="H13" s="10" t="s">
        <v>19</v>
      </c>
      <c r="I13" s="19" t="s">
        <v>202</v>
      </c>
      <c r="J13" s="14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10">
        <v>11</v>
      </c>
      <c r="C14" s="8" t="s">
        <v>182</v>
      </c>
      <c r="D14" s="8" t="s">
        <v>210</v>
      </c>
      <c r="E14" s="8">
        <v>1275942889</v>
      </c>
      <c r="F14" s="8" t="s">
        <v>208</v>
      </c>
      <c r="G14" s="8" t="s">
        <v>185</v>
      </c>
      <c r="H14" s="10" t="s">
        <v>19</v>
      </c>
      <c r="I14" s="19" t="s">
        <v>186</v>
      </c>
      <c r="J14" s="14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10">
        <v>12</v>
      </c>
      <c r="C15" s="8" t="s">
        <v>182</v>
      </c>
      <c r="D15" s="8" t="s">
        <v>211</v>
      </c>
      <c r="E15" s="8">
        <v>1000058717</v>
      </c>
      <c r="F15" s="8" t="s">
        <v>198</v>
      </c>
      <c r="G15" s="8" t="s">
        <v>192</v>
      </c>
      <c r="H15" s="10" t="s">
        <v>19</v>
      </c>
      <c r="I15" s="19" t="s">
        <v>186</v>
      </c>
      <c r="J15" s="14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10">
        <v>13</v>
      </c>
      <c r="C16" s="8" t="s">
        <v>182</v>
      </c>
      <c r="D16" s="8" t="s">
        <v>213</v>
      </c>
      <c r="E16" s="8">
        <v>1238780664</v>
      </c>
      <c r="F16" s="8" t="s">
        <v>214</v>
      </c>
      <c r="G16" s="8" t="s">
        <v>192</v>
      </c>
      <c r="H16" s="10" t="s">
        <v>19</v>
      </c>
      <c r="I16" s="19" t="s">
        <v>215</v>
      </c>
      <c r="J16" s="14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10">
        <v>14</v>
      </c>
      <c r="C17" s="8" t="s">
        <v>182</v>
      </c>
      <c r="D17" s="8" t="s">
        <v>216</v>
      </c>
      <c r="E17" s="8">
        <v>1930268816</v>
      </c>
      <c r="F17" s="8" t="s">
        <v>217</v>
      </c>
      <c r="G17" s="8" t="s">
        <v>185</v>
      </c>
      <c r="H17" s="10" t="s">
        <v>19</v>
      </c>
      <c r="I17" s="19" t="s">
        <v>186</v>
      </c>
      <c r="J17" s="14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10">
        <v>15</v>
      </c>
      <c r="C18" s="8" t="s">
        <v>182</v>
      </c>
      <c r="D18" s="8" t="s">
        <v>219</v>
      </c>
      <c r="E18" s="8">
        <v>1447358221</v>
      </c>
      <c r="F18" s="8" t="s">
        <v>220</v>
      </c>
      <c r="G18" s="8" t="s">
        <v>192</v>
      </c>
      <c r="H18" s="10" t="s">
        <v>19</v>
      </c>
      <c r="I18" s="19" t="s">
        <v>193</v>
      </c>
      <c r="J18" s="14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10">
        <v>16</v>
      </c>
      <c r="C19" s="8" t="s">
        <v>182</v>
      </c>
      <c r="D19" s="8" t="s">
        <v>221</v>
      </c>
      <c r="E19" s="8">
        <v>1889529538</v>
      </c>
      <c r="F19" s="8" t="s">
        <v>220</v>
      </c>
      <c r="G19" s="8" t="s">
        <v>185</v>
      </c>
      <c r="H19" s="10" t="s">
        <v>19</v>
      </c>
      <c r="I19" s="19" t="s">
        <v>186</v>
      </c>
      <c r="J19" s="14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10">
        <v>17</v>
      </c>
      <c r="C20" s="8" t="s">
        <v>182</v>
      </c>
      <c r="D20" s="8" t="s">
        <v>223</v>
      </c>
      <c r="E20" s="8">
        <v>1519711339</v>
      </c>
      <c r="F20" s="8" t="s">
        <v>220</v>
      </c>
      <c r="G20" s="8" t="s">
        <v>224</v>
      </c>
      <c r="H20" s="10" t="s">
        <v>19</v>
      </c>
      <c r="I20" s="19" t="s">
        <v>202</v>
      </c>
      <c r="J20" s="14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10">
        <v>18</v>
      </c>
      <c r="C21" s="8" t="s">
        <v>182</v>
      </c>
      <c r="D21" s="8" t="s">
        <v>225</v>
      </c>
      <c r="E21" s="8">
        <v>1477194337</v>
      </c>
      <c r="F21" s="8" t="s">
        <v>220</v>
      </c>
      <c r="G21" s="8" t="s">
        <v>224</v>
      </c>
      <c r="H21" s="10" t="s">
        <v>19</v>
      </c>
      <c r="I21" s="19" t="s">
        <v>228</v>
      </c>
      <c r="J21" s="14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10">
        <v>19</v>
      </c>
      <c r="C22" s="8" t="s">
        <v>182</v>
      </c>
      <c r="D22" s="8" t="s">
        <v>229</v>
      </c>
      <c r="E22" s="8">
        <v>1270706812</v>
      </c>
      <c r="F22" s="8" t="s">
        <v>230</v>
      </c>
      <c r="G22" s="8" t="s">
        <v>185</v>
      </c>
      <c r="H22" s="10" t="s">
        <v>19</v>
      </c>
      <c r="I22" s="19" t="s">
        <v>186</v>
      </c>
      <c r="J22" s="14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10">
        <v>20</v>
      </c>
      <c r="C23" s="8" t="s">
        <v>182</v>
      </c>
      <c r="D23" s="8" t="s">
        <v>232</v>
      </c>
      <c r="E23" s="8">
        <v>1963445290</v>
      </c>
      <c r="F23" s="8" t="s">
        <v>233</v>
      </c>
      <c r="G23" s="8" t="s">
        <v>185</v>
      </c>
      <c r="H23" s="10" t="s">
        <v>19</v>
      </c>
      <c r="I23" s="19" t="s">
        <v>193</v>
      </c>
      <c r="J23" s="14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10">
        <v>21</v>
      </c>
      <c r="C24" s="8" t="s">
        <v>182</v>
      </c>
      <c r="D24" s="8" t="s">
        <v>235</v>
      </c>
      <c r="E24" s="8">
        <v>1324541914</v>
      </c>
      <c r="F24" s="8" t="s">
        <v>233</v>
      </c>
      <c r="G24" s="8" t="s">
        <v>185</v>
      </c>
      <c r="H24" s="10" t="s">
        <v>19</v>
      </c>
      <c r="I24" s="19" t="s">
        <v>186</v>
      </c>
      <c r="J24" s="14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10">
        <v>22</v>
      </c>
      <c r="C25" s="8" t="s">
        <v>182</v>
      </c>
      <c r="D25" s="8" t="s">
        <v>236</v>
      </c>
      <c r="E25" s="8">
        <v>1000060767</v>
      </c>
      <c r="F25" s="8" t="s">
        <v>237</v>
      </c>
      <c r="G25" s="8" t="s">
        <v>238</v>
      </c>
      <c r="H25" s="10" t="s">
        <v>19</v>
      </c>
      <c r="I25" s="19" t="s">
        <v>228</v>
      </c>
      <c r="J25" s="14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10">
        <v>23</v>
      </c>
      <c r="C26" s="8" t="s">
        <v>182</v>
      </c>
      <c r="D26" s="8" t="s">
        <v>239</v>
      </c>
      <c r="E26" s="8">
        <v>1621178522</v>
      </c>
      <c r="F26" s="8" t="s">
        <v>240</v>
      </c>
      <c r="G26" s="8" t="s">
        <v>185</v>
      </c>
      <c r="H26" s="10" t="s">
        <v>19</v>
      </c>
      <c r="I26" s="19" t="s">
        <v>186</v>
      </c>
      <c r="J26" s="14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10">
        <v>24</v>
      </c>
      <c r="C27" s="8" t="s">
        <v>182</v>
      </c>
      <c r="D27" s="8" t="s">
        <v>241</v>
      </c>
      <c r="E27" s="8">
        <v>1686469759</v>
      </c>
      <c r="F27" s="8" t="s">
        <v>233</v>
      </c>
      <c r="G27" s="8" t="s">
        <v>224</v>
      </c>
      <c r="H27" s="10" t="s">
        <v>19</v>
      </c>
      <c r="I27" s="19" t="s">
        <v>193</v>
      </c>
      <c r="J27" s="14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10">
        <v>25</v>
      </c>
      <c r="C28" s="8" t="s">
        <v>182</v>
      </c>
      <c r="D28" s="8" t="s">
        <v>242</v>
      </c>
      <c r="E28" s="8">
        <v>1424187247</v>
      </c>
      <c r="F28" s="8" t="s">
        <v>243</v>
      </c>
      <c r="G28" s="8" t="s">
        <v>185</v>
      </c>
      <c r="H28" s="10" t="s">
        <v>19</v>
      </c>
      <c r="I28" s="19" t="s">
        <v>186</v>
      </c>
      <c r="J28" s="14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4">
      <c r="A29" s="3"/>
      <c r="B29" s="10">
        <v>26</v>
      </c>
      <c r="C29" s="8" t="s">
        <v>182</v>
      </c>
      <c r="D29" s="8" t="s">
        <v>244</v>
      </c>
      <c r="E29" s="8">
        <v>1281703229</v>
      </c>
      <c r="F29" s="8" t="s">
        <v>245</v>
      </c>
      <c r="G29" s="8" t="s">
        <v>192</v>
      </c>
      <c r="H29" s="10" t="s">
        <v>19</v>
      </c>
      <c r="I29" s="19" t="s">
        <v>186</v>
      </c>
      <c r="J29" s="14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4">
      <c r="A30" s="3"/>
      <c r="B30" s="10">
        <v>27</v>
      </c>
      <c r="C30" s="8" t="s">
        <v>182</v>
      </c>
      <c r="D30" s="8" t="s">
        <v>246</v>
      </c>
      <c r="E30" s="8">
        <v>1614052366</v>
      </c>
      <c r="F30" s="8" t="s">
        <v>247</v>
      </c>
      <c r="G30" s="8" t="s">
        <v>224</v>
      </c>
      <c r="H30" s="10" t="s">
        <v>19</v>
      </c>
      <c r="I30" s="19" t="s">
        <v>186</v>
      </c>
      <c r="J30" s="14" t="s">
        <v>23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4">
      <c r="A31" s="3"/>
      <c r="B31" s="10">
        <v>28</v>
      </c>
      <c r="C31" s="8" t="s">
        <v>182</v>
      </c>
      <c r="D31" s="8" t="s">
        <v>248</v>
      </c>
      <c r="E31" s="8">
        <v>1991001944</v>
      </c>
      <c r="F31" s="8" t="s">
        <v>243</v>
      </c>
      <c r="G31" s="8" t="s">
        <v>224</v>
      </c>
      <c r="H31" s="10" t="s">
        <v>19</v>
      </c>
      <c r="I31" s="19" t="s">
        <v>228</v>
      </c>
      <c r="J31" s="14" t="s">
        <v>28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4">
      <c r="A32" s="3"/>
      <c r="B32" s="10">
        <v>29</v>
      </c>
      <c r="C32" s="8" t="s">
        <v>182</v>
      </c>
      <c r="D32" s="8" t="s">
        <v>249</v>
      </c>
      <c r="E32" s="8">
        <v>1413452656</v>
      </c>
      <c r="F32" s="8" t="s">
        <v>250</v>
      </c>
      <c r="G32" s="8" t="s">
        <v>192</v>
      </c>
      <c r="H32" s="10" t="s">
        <v>19</v>
      </c>
      <c r="I32" s="19" t="s">
        <v>215</v>
      </c>
      <c r="J32" s="14" t="s">
        <v>28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4">
      <c r="A33" s="3"/>
      <c r="B33" s="10">
        <v>30</v>
      </c>
      <c r="C33" s="8" t="s">
        <v>182</v>
      </c>
      <c r="D33" s="8" t="s">
        <v>251</v>
      </c>
      <c r="E33" s="8">
        <v>1676312873</v>
      </c>
      <c r="F33" s="8" t="s">
        <v>250</v>
      </c>
      <c r="G33" s="8" t="s">
        <v>185</v>
      </c>
      <c r="H33" s="10" t="s">
        <v>19</v>
      </c>
      <c r="I33" s="19" t="s">
        <v>252</v>
      </c>
      <c r="J33" s="14" t="s">
        <v>28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4">
      <c r="A34" s="3"/>
      <c r="B34" s="10">
        <v>31</v>
      </c>
      <c r="C34" s="8" t="s">
        <v>182</v>
      </c>
      <c r="D34" s="8" t="s">
        <v>253</v>
      </c>
      <c r="E34" s="8">
        <v>1233748797</v>
      </c>
      <c r="F34" s="8" t="s">
        <v>254</v>
      </c>
      <c r="G34" s="8" t="s">
        <v>255</v>
      </c>
      <c r="H34" s="10" t="s">
        <v>19</v>
      </c>
      <c r="I34" s="19" t="s">
        <v>186</v>
      </c>
      <c r="J34" s="14" t="s">
        <v>28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4">
      <c r="A35" s="3"/>
      <c r="B35" s="10">
        <v>32</v>
      </c>
      <c r="C35" s="8" t="s">
        <v>182</v>
      </c>
      <c r="D35" s="8" t="s">
        <v>256</v>
      </c>
      <c r="E35" s="8">
        <v>1164532761</v>
      </c>
      <c r="F35" s="8" t="s">
        <v>250</v>
      </c>
      <c r="G35" s="8" t="s">
        <v>224</v>
      </c>
      <c r="H35" s="10" t="s">
        <v>19</v>
      </c>
      <c r="I35" s="19" t="s">
        <v>228</v>
      </c>
      <c r="J35" s="14" t="s">
        <v>28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4">
      <c r="A36" s="3"/>
      <c r="B36" s="10">
        <v>33</v>
      </c>
      <c r="C36" s="8" t="s">
        <v>182</v>
      </c>
      <c r="D36" s="8" t="s">
        <v>257</v>
      </c>
      <c r="E36" s="8">
        <v>1642960971</v>
      </c>
      <c r="F36" s="8" t="s">
        <v>258</v>
      </c>
      <c r="G36" s="8" t="s">
        <v>192</v>
      </c>
      <c r="H36" s="10" t="s">
        <v>19</v>
      </c>
      <c r="I36" s="19" t="s">
        <v>186</v>
      </c>
      <c r="J36" s="14" t="s">
        <v>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4">
      <c r="A37" s="3"/>
      <c r="B37" s="10">
        <v>34</v>
      </c>
      <c r="C37" s="8" t="s">
        <v>182</v>
      </c>
      <c r="D37" s="8" t="s">
        <v>259</v>
      </c>
      <c r="E37" s="8">
        <v>1900866022</v>
      </c>
      <c r="F37" s="8" t="s">
        <v>258</v>
      </c>
      <c r="G37" s="8" t="s">
        <v>255</v>
      </c>
      <c r="H37" s="10" t="s">
        <v>19</v>
      </c>
      <c r="I37" s="19" t="s">
        <v>228</v>
      </c>
      <c r="J37" s="14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4">
      <c r="A38" s="3"/>
      <c r="B38" s="10">
        <v>35</v>
      </c>
      <c r="C38" s="8" t="s">
        <v>182</v>
      </c>
      <c r="D38" s="8" t="s">
        <v>260</v>
      </c>
      <c r="E38" s="8">
        <v>1930125183</v>
      </c>
      <c r="F38" s="8" t="s">
        <v>261</v>
      </c>
      <c r="G38" s="8" t="s">
        <v>255</v>
      </c>
      <c r="H38" s="10" t="s">
        <v>19</v>
      </c>
      <c r="I38" s="19" t="s">
        <v>193</v>
      </c>
      <c r="J38" s="14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4">
      <c r="A39" s="3"/>
      <c r="B39" s="10">
        <v>36</v>
      </c>
      <c r="C39" s="8" t="s">
        <v>182</v>
      </c>
      <c r="D39" s="8" t="s">
        <v>262</v>
      </c>
      <c r="E39" s="8">
        <v>1120075880</v>
      </c>
      <c r="F39" s="8" t="s">
        <v>261</v>
      </c>
      <c r="G39" s="8" t="s">
        <v>255</v>
      </c>
      <c r="H39" s="10" t="s">
        <v>19</v>
      </c>
      <c r="I39" s="19" t="s">
        <v>193</v>
      </c>
      <c r="J39" s="14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4">
      <c r="A40" s="3"/>
      <c r="B40" s="10">
        <v>37</v>
      </c>
      <c r="C40" s="8" t="s">
        <v>182</v>
      </c>
      <c r="D40" s="8" t="s">
        <v>263</v>
      </c>
      <c r="E40" s="8">
        <v>1502534242</v>
      </c>
      <c r="F40" s="8" t="s">
        <v>261</v>
      </c>
      <c r="G40" s="8" t="s">
        <v>224</v>
      </c>
      <c r="H40" s="10" t="s">
        <v>19</v>
      </c>
      <c r="I40" s="19" t="s">
        <v>228</v>
      </c>
      <c r="J40" s="14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4">
      <c r="A41" s="3"/>
      <c r="B41" s="10">
        <v>38</v>
      </c>
      <c r="C41" s="8" t="s">
        <v>182</v>
      </c>
      <c r="D41" s="8" t="s">
        <v>264</v>
      </c>
      <c r="E41" s="8">
        <v>1862794733</v>
      </c>
      <c r="F41" s="8" t="s">
        <v>261</v>
      </c>
      <c r="G41" s="8" t="s">
        <v>224</v>
      </c>
      <c r="H41" s="10" t="s">
        <v>19</v>
      </c>
      <c r="I41" s="19" t="s">
        <v>228</v>
      </c>
      <c r="J41" s="14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4">
      <c r="A42" s="3"/>
      <c r="B42" s="10">
        <v>39</v>
      </c>
      <c r="C42" s="8" t="s">
        <v>182</v>
      </c>
      <c r="D42" s="8" t="s">
        <v>265</v>
      </c>
      <c r="E42" s="8">
        <v>1712555403</v>
      </c>
      <c r="F42" s="8" t="s">
        <v>266</v>
      </c>
      <c r="G42" s="8" t="s">
        <v>255</v>
      </c>
      <c r="H42" s="10" t="s">
        <v>19</v>
      </c>
      <c r="I42" s="19" t="s">
        <v>193</v>
      </c>
      <c r="J42" s="14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4">
      <c r="A43" s="3"/>
      <c r="B43" s="10">
        <v>40</v>
      </c>
      <c r="C43" s="8" t="s">
        <v>182</v>
      </c>
      <c r="D43" s="8" t="s">
        <v>267</v>
      </c>
      <c r="E43" s="8">
        <v>1397525749</v>
      </c>
      <c r="F43" s="8" t="s">
        <v>268</v>
      </c>
      <c r="G43" s="8" t="s">
        <v>192</v>
      </c>
      <c r="H43" s="10" t="s">
        <v>19</v>
      </c>
      <c r="I43" s="19" t="s">
        <v>186</v>
      </c>
      <c r="J43" s="14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4">
      <c r="A44" s="3"/>
      <c r="B44" s="10">
        <v>41</v>
      </c>
      <c r="C44" s="8" t="s">
        <v>182</v>
      </c>
      <c r="D44" s="8" t="s">
        <v>269</v>
      </c>
      <c r="E44" s="8">
        <v>1774594158</v>
      </c>
      <c r="F44" s="8" t="s">
        <v>268</v>
      </c>
      <c r="G44" s="8" t="s">
        <v>192</v>
      </c>
      <c r="H44" s="10" t="s">
        <v>19</v>
      </c>
      <c r="I44" s="19" t="s">
        <v>186</v>
      </c>
      <c r="J44" s="14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4">
      <c r="A45" s="3"/>
      <c r="B45" s="10">
        <v>42</v>
      </c>
      <c r="C45" s="8" t="s">
        <v>182</v>
      </c>
      <c r="D45" s="8" t="s">
        <v>270</v>
      </c>
      <c r="E45" s="8">
        <v>1613315334</v>
      </c>
      <c r="F45" s="8" t="s">
        <v>268</v>
      </c>
      <c r="G45" s="8" t="s">
        <v>224</v>
      </c>
      <c r="H45" s="10" t="s">
        <v>19</v>
      </c>
      <c r="I45" s="19" t="s">
        <v>186</v>
      </c>
      <c r="J45" s="14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4">
      <c r="A46" s="3"/>
      <c r="B46" s="10">
        <v>43</v>
      </c>
      <c r="C46" s="8" t="s">
        <v>182</v>
      </c>
      <c r="D46" s="8" t="s">
        <v>271</v>
      </c>
      <c r="E46" s="8">
        <v>1688226222</v>
      </c>
      <c r="F46" s="8" t="s">
        <v>268</v>
      </c>
      <c r="G46" s="8" t="s">
        <v>224</v>
      </c>
      <c r="H46" s="10" t="s">
        <v>19</v>
      </c>
      <c r="I46" s="19" t="s">
        <v>186</v>
      </c>
      <c r="J46" s="14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4">
      <c r="A47" s="3"/>
      <c r="B47" s="10">
        <v>44</v>
      </c>
      <c r="C47" s="8" t="s">
        <v>182</v>
      </c>
      <c r="D47" s="8" t="s">
        <v>272</v>
      </c>
      <c r="E47" s="8">
        <v>1561083897</v>
      </c>
      <c r="F47" s="8" t="s">
        <v>273</v>
      </c>
      <c r="G47" s="8" t="s">
        <v>224</v>
      </c>
      <c r="H47" s="10" t="s">
        <v>19</v>
      </c>
      <c r="I47" s="19" t="s">
        <v>228</v>
      </c>
      <c r="J47" s="14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4">
      <c r="A48" s="3"/>
      <c r="B48" s="10">
        <v>45</v>
      </c>
      <c r="C48" s="8" t="s">
        <v>182</v>
      </c>
      <c r="D48" s="8" t="s">
        <v>274</v>
      </c>
      <c r="E48" s="8">
        <v>1860449045</v>
      </c>
      <c r="F48" s="8" t="s">
        <v>273</v>
      </c>
      <c r="G48" s="8" t="s">
        <v>224</v>
      </c>
      <c r="H48" s="10" t="s">
        <v>19</v>
      </c>
      <c r="I48" s="19" t="s">
        <v>228</v>
      </c>
      <c r="J48" s="14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4">
      <c r="A49" s="3"/>
      <c r="B49" s="10">
        <v>46</v>
      </c>
      <c r="C49" s="8" t="s">
        <v>182</v>
      </c>
      <c r="D49" s="8" t="s">
        <v>275</v>
      </c>
      <c r="E49" s="8">
        <v>1764436405</v>
      </c>
      <c r="F49" s="8" t="s">
        <v>276</v>
      </c>
      <c r="G49" s="8" t="s">
        <v>224</v>
      </c>
      <c r="H49" s="10" t="s">
        <v>19</v>
      </c>
      <c r="I49" s="19" t="s">
        <v>228</v>
      </c>
      <c r="J49" s="14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4">
      <c r="A50" s="3"/>
      <c r="B50" s="10">
        <v>47</v>
      </c>
      <c r="C50" s="8" t="s">
        <v>182</v>
      </c>
      <c r="D50" s="8" t="s">
        <v>277</v>
      </c>
      <c r="E50" s="8">
        <v>1107211917</v>
      </c>
      <c r="F50" s="8" t="s">
        <v>278</v>
      </c>
      <c r="G50" s="8" t="s">
        <v>185</v>
      </c>
      <c r="H50" s="10" t="s">
        <v>19</v>
      </c>
      <c r="I50" s="19" t="s">
        <v>193</v>
      </c>
      <c r="J50" s="14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4">
      <c r="A51" s="3"/>
      <c r="B51" s="10">
        <v>48</v>
      </c>
      <c r="C51" s="8" t="s">
        <v>182</v>
      </c>
      <c r="D51" s="8" t="s">
        <v>279</v>
      </c>
      <c r="E51" s="8">
        <v>1779495996</v>
      </c>
      <c r="F51" s="8" t="s">
        <v>278</v>
      </c>
      <c r="G51" s="8" t="s">
        <v>192</v>
      </c>
      <c r="H51" s="10" t="s">
        <v>19</v>
      </c>
      <c r="I51" s="19" t="s">
        <v>215</v>
      </c>
      <c r="J51" s="14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4">
      <c r="A52" s="3"/>
      <c r="B52" s="10">
        <v>49</v>
      </c>
      <c r="C52" s="8" t="s">
        <v>182</v>
      </c>
      <c r="D52" s="8" t="s">
        <v>280</v>
      </c>
      <c r="E52" s="8">
        <v>1303849016</v>
      </c>
      <c r="F52" s="8" t="s">
        <v>278</v>
      </c>
      <c r="G52" s="8" t="s">
        <v>255</v>
      </c>
      <c r="H52" s="10" t="s">
        <v>19</v>
      </c>
      <c r="I52" s="19" t="s">
        <v>186</v>
      </c>
      <c r="J52" s="14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4">
      <c r="A53" s="3"/>
      <c r="B53" s="10">
        <v>50</v>
      </c>
      <c r="C53" s="8" t="s">
        <v>182</v>
      </c>
      <c r="D53" s="8" t="s">
        <v>281</v>
      </c>
      <c r="E53" s="8">
        <v>1528301258</v>
      </c>
      <c r="F53" s="8" t="s">
        <v>278</v>
      </c>
      <c r="G53" s="8" t="s">
        <v>255</v>
      </c>
      <c r="H53" s="10" t="s">
        <v>19</v>
      </c>
      <c r="I53" s="19" t="s">
        <v>228</v>
      </c>
      <c r="J53" s="14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4">
      <c r="A54" s="3"/>
      <c r="B54" s="10">
        <v>51</v>
      </c>
      <c r="C54" s="8" t="s">
        <v>182</v>
      </c>
      <c r="D54" s="8" t="s">
        <v>282</v>
      </c>
      <c r="E54" s="8">
        <v>1220820660</v>
      </c>
      <c r="F54" s="8" t="s">
        <v>278</v>
      </c>
      <c r="G54" s="8" t="s">
        <v>255</v>
      </c>
      <c r="H54" s="10" t="s">
        <v>19</v>
      </c>
      <c r="I54" s="19" t="s">
        <v>193</v>
      </c>
      <c r="J54" s="14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4">
      <c r="A55" s="3"/>
      <c r="B55" s="10">
        <v>52</v>
      </c>
      <c r="C55" s="8" t="s">
        <v>182</v>
      </c>
      <c r="D55" s="8" t="s">
        <v>283</v>
      </c>
      <c r="E55" s="8">
        <v>1242164183</v>
      </c>
      <c r="F55" s="8" t="s">
        <v>278</v>
      </c>
      <c r="G55" s="8" t="s">
        <v>192</v>
      </c>
      <c r="H55" s="10" t="s">
        <v>19</v>
      </c>
      <c r="I55" s="19" t="s">
        <v>215</v>
      </c>
      <c r="J55" s="14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4">
      <c r="A56" s="3"/>
      <c r="B56" s="10">
        <v>53</v>
      </c>
      <c r="C56" s="8" t="s">
        <v>182</v>
      </c>
      <c r="D56" s="8" t="s">
        <v>284</v>
      </c>
      <c r="E56" s="8">
        <v>1993833255</v>
      </c>
      <c r="F56" s="8" t="s">
        <v>285</v>
      </c>
      <c r="G56" s="8" t="s">
        <v>192</v>
      </c>
      <c r="H56" s="10" t="s">
        <v>19</v>
      </c>
      <c r="I56" s="19" t="s">
        <v>186</v>
      </c>
      <c r="J56" s="14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4">
      <c r="A57" s="3"/>
      <c r="B57" s="10">
        <v>54</v>
      </c>
      <c r="C57" s="8" t="s">
        <v>182</v>
      </c>
      <c r="D57" s="8" t="s">
        <v>286</v>
      </c>
      <c r="E57" s="8">
        <v>1392296059</v>
      </c>
      <c r="F57" s="8" t="s">
        <v>287</v>
      </c>
      <c r="G57" s="8" t="s">
        <v>224</v>
      </c>
      <c r="H57" s="10" t="s">
        <v>19</v>
      </c>
      <c r="I57" s="10" t="s">
        <v>193</v>
      </c>
      <c r="J57" s="20" t="s">
        <v>23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4">
      <c r="A58" s="3"/>
      <c r="B58" s="10">
        <v>55</v>
      </c>
      <c r="C58" s="8" t="s">
        <v>182</v>
      </c>
      <c r="D58" s="8" t="s">
        <v>288</v>
      </c>
      <c r="E58" s="8">
        <v>1720651126</v>
      </c>
      <c r="F58" s="8" t="s">
        <v>287</v>
      </c>
      <c r="G58" s="8" t="s">
        <v>192</v>
      </c>
      <c r="H58" s="10" t="s">
        <v>19</v>
      </c>
      <c r="I58" s="10" t="s">
        <v>228</v>
      </c>
      <c r="J58" s="20" t="s">
        <v>28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4">
      <c r="A59" s="3"/>
      <c r="B59" s="10">
        <v>56</v>
      </c>
      <c r="C59" s="8" t="s">
        <v>182</v>
      </c>
      <c r="D59" s="8" t="s">
        <v>289</v>
      </c>
      <c r="E59" s="8">
        <v>1722757015</v>
      </c>
      <c r="F59" s="8" t="s">
        <v>290</v>
      </c>
      <c r="G59" s="8" t="s">
        <v>192</v>
      </c>
      <c r="H59" s="10" t="s">
        <v>19</v>
      </c>
      <c r="I59" s="10" t="s">
        <v>228</v>
      </c>
      <c r="J59" s="20" t="s">
        <v>28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4">
      <c r="A60" s="3"/>
      <c r="B60" s="10">
        <v>57</v>
      </c>
      <c r="C60" s="8" t="s">
        <v>182</v>
      </c>
      <c r="D60" s="8" t="s">
        <v>291</v>
      </c>
      <c r="E60" s="8">
        <v>1545739391</v>
      </c>
      <c r="F60" s="8" t="s">
        <v>290</v>
      </c>
      <c r="G60" s="8" t="s">
        <v>192</v>
      </c>
      <c r="H60" s="10" t="s">
        <v>19</v>
      </c>
      <c r="I60" s="10" t="s">
        <v>228</v>
      </c>
      <c r="J60" s="20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4">
      <c r="A61" s="3"/>
      <c r="B61" s="10">
        <v>58</v>
      </c>
      <c r="C61" s="8" t="s">
        <v>182</v>
      </c>
      <c r="D61" s="8" t="s">
        <v>292</v>
      </c>
      <c r="E61" s="8">
        <v>1517882788</v>
      </c>
      <c r="F61" s="8" t="s">
        <v>287</v>
      </c>
      <c r="G61" s="8" t="s">
        <v>185</v>
      </c>
      <c r="H61" s="10" t="s">
        <v>19</v>
      </c>
      <c r="I61" s="10" t="s">
        <v>186</v>
      </c>
      <c r="J61" s="20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4">
      <c r="A62" s="3"/>
      <c r="B62" s="10">
        <v>59</v>
      </c>
      <c r="C62" s="8" t="s">
        <v>182</v>
      </c>
      <c r="D62" s="8" t="s">
        <v>293</v>
      </c>
      <c r="E62" s="8">
        <v>1195179014</v>
      </c>
      <c r="F62" s="8" t="s">
        <v>294</v>
      </c>
      <c r="G62" s="8" t="s">
        <v>192</v>
      </c>
      <c r="H62" s="10" t="s">
        <v>19</v>
      </c>
      <c r="I62" s="10" t="s">
        <v>295</v>
      </c>
      <c r="J62" s="20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4">
      <c r="A63" s="3"/>
      <c r="B63" s="10">
        <v>60</v>
      </c>
      <c r="C63" s="8" t="s">
        <v>182</v>
      </c>
      <c r="D63" s="8" t="s">
        <v>296</v>
      </c>
      <c r="E63" s="8">
        <v>1966270311</v>
      </c>
      <c r="F63" s="8" t="s">
        <v>294</v>
      </c>
      <c r="G63" s="8" t="s">
        <v>192</v>
      </c>
      <c r="H63" s="10" t="s">
        <v>19</v>
      </c>
      <c r="I63" s="6" t="s">
        <v>297</v>
      </c>
      <c r="J63" s="20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4">
      <c r="A64" s="3"/>
      <c r="B64" s="10">
        <v>61</v>
      </c>
      <c r="C64" s="8" t="s">
        <v>182</v>
      </c>
      <c r="D64" s="8" t="s">
        <v>298</v>
      </c>
      <c r="E64" s="8">
        <v>1102887727</v>
      </c>
      <c r="F64" s="8" t="s">
        <v>299</v>
      </c>
      <c r="G64" s="8" t="s">
        <v>185</v>
      </c>
      <c r="H64" s="10" t="s">
        <v>19</v>
      </c>
      <c r="I64" s="6" t="s">
        <v>193</v>
      </c>
      <c r="J64" s="20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4">
      <c r="A65" s="3"/>
      <c r="B65" s="10">
        <v>62</v>
      </c>
      <c r="C65" s="8" t="s">
        <v>182</v>
      </c>
      <c r="D65" s="8" t="s">
        <v>300</v>
      </c>
      <c r="E65" s="8">
        <v>1671108458</v>
      </c>
      <c r="F65" s="8" t="s">
        <v>299</v>
      </c>
      <c r="G65" s="8" t="s">
        <v>192</v>
      </c>
      <c r="H65" s="10" t="s">
        <v>19</v>
      </c>
      <c r="I65" s="6"/>
      <c r="J65" s="20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4">
      <c r="A66" s="3"/>
      <c r="B66" s="10">
        <v>63</v>
      </c>
      <c r="C66" s="8" t="s">
        <v>182</v>
      </c>
      <c r="D66" s="8" t="s">
        <v>301</v>
      </c>
      <c r="E66" s="8">
        <v>1621303953</v>
      </c>
      <c r="F66" s="8" t="s">
        <v>299</v>
      </c>
      <c r="G66" s="8" t="s">
        <v>185</v>
      </c>
      <c r="H66" s="10" t="s">
        <v>19</v>
      </c>
      <c r="I66" s="6" t="s">
        <v>228</v>
      </c>
      <c r="J66" s="20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4">
      <c r="A67" s="3"/>
      <c r="B67" s="10">
        <v>64</v>
      </c>
      <c r="C67" s="8" t="s">
        <v>182</v>
      </c>
      <c r="D67" s="8" t="s">
        <v>302</v>
      </c>
      <c r="E67" s="8">
        <v>1554947937</v>
      </c>
      <c r="F67" s="8" t="s">
        <v>299</v>
      </c>
      <c r="G67" s="8" t="s">
        <v>185</v>
      </c>
      <c r="H67" s="10" t="s">
        <v>19</v>
      </c>
      <c r="I67" s="6"/>
      <c r="J67" s="20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4">
      <c r="A68" s="3"/>
      <c r="B68" s="10">
        <v>65</v>
      </c>
      <c r="C68" s="8" t="s">
        <v>182</v>
      </c>
      <c r="D68" s="8" t="s">
        <v>303</v>
      </c>
      <c r="E68" s="8">
        <v>1916717972</v>
      </c>
      <c r="F68" s="8" t="s">
        <v>304</v>
      </c>
      <c r="G68" s="8" t="s">
        <v>192</v>
      </c>
      <c r="H68" s="10" t="s">
        <v>19</v>
      </c>
      <c r="I68" s="6" t="s">
        <v>228</v>
      </c>
      <c r="J68" s="20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4">
      <c r="A69" s="3"/>
      <c r="B69" s="10">
        <v>66</v>
      </c>
      <c r="C69" s="8" t="s">
        <v>182</v>
      </c>
      <c r="D69" s="8" t="s">
        <v>305</v>
      </c>
      <c r="E69" s="8">
        <v>1599377003</v>
      </c>
      <c r="F69" s="8" t="s">
        <v>304</v>
      </c>
      <c r="G69" s="8" t="s">
        <v>185</v>
      </c>
      <c r="H69" s="10" t="s">
        <v>19</v>
      </c>
      <c r="I69" s="6" t="s">
        <v>297</v>
      </c>
      <c r="J69" s="20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4">
      <c r="A70" s="3"/>
      <c r="B70" s="10">
        <v>67</v>
      </c>
      <c r="C70" s="8" t="s">
        <v>182</v>
      </c>
      <c r="D70" s="8" t="s">
        <v>306</v>
      </c>
      <c r="E70" s="8">
        <v>1311051856</v>
      </c>
      <c r="F70" s="8" t="s">
        <v>304</v>
      </c>
      <c r="G70" s="8" t="s">
        <v>185</v>
      </c>
      <c r="H70" s="10" t="s">
        <v>19</v>
      </c>
      <c r="I70" s="6" t="s">
        <v>307</v>
      </c>
      <c r="J70" s="20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4">
      <c r="A71" s="3"/>
      <c r="B71" s="10">
        <v>68</v>
      </c>
      <c r="C71" s="8" t="s">
        <v>182</v>
      </c>
      <c r="D71" s="8" t="s">
        <v>308</v>
      </c>
      <c r="E71" s="8">
        <v>1707389443</v>
      </c>
      <c r="F71" s="8" t="s">
        <v>309</v>
      </c>
      <c r="G71" s="8" t="s">
        <v>185</v>
      </c>
      <c r="H71" s="10" t="s">
        <v>19</v>
      </c>
      <c r="I71" s="6" t="s">
        <v>310</v>
      </c>
      <c r="J71" s="20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4">
      <c r="A72" s="3"/>
      <c r="B72" s="10">
        <v>69</v>
      </c>
      <c r="C72" s="8" t="s">
        <v>182</v>
      </c>
      <c r="D72" s="8" t="s">
        <v>311</v>
      </c>
      <c r="E72" s="8">
        <v>1369280565</v>
      </c>
      <c r="F72" s="8" t="s">
        <v>309</v>
      </c>
      <c r="G72" s="8" t="s">
        <v>185</v>
      </c>
      <c r="H72" s="10" t="s">
        <v>19</v>
      </c>
      <c r="I72" s="6" t="s">
        <v>295</v>
      </c>
      <c r="J72" s="20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4">
      <c r="A73" s="3"/>
      <c r="B73" s="10">
        <v>70</v>
      </c>
      <c r="C73" s="8" t="s">
        <v>182</v>
      </c>
      <c r="D73" s="8" t="s">
        <v>312</v>
      </c>
      <c r="E73" s="8">
        <v>1408974164</v>
      </c>
      <c r="F73" s="8" t="s">
        <v>309</v>
      </c>
      <c r="G73" s="8" t="s">
        <v>185</v>
      </c>
      <c r="H73" s="10" t="s">
        <v>19</v>
      </c>
      <c r="I73" s="6"/>
      <c r="J73" s="20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4">
      <c r="A74" s="3"/>
      <c r="B74" s="10">
        <v>71</v>
      </c>
      <c r="C74" s="8" t="s">
        <v>182</v>
      </c>
      <c r="D74" s="8" t="s">
        <v>313</v>
      </c>
      <c r="E74" s="8">
        <v>1787286135</v>
      </c>
      <c r="F74" s="8" t="s">
        <v>309</v>
      </c>
      <c r="G74" s="8" t="s">
        <v>185</v>
      </c>
      <c r="H74" s="10" t="s">
        <v>19</v>
      </c>
      <c r="I74" s="6" t="s">
        <v>307</v>
      </c>
      <c r="J74" s="20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4">
      <c r="A75" s="3"/>
      <c r="B75" s="10">
        <v>72</v>
      </c>
      <c r="C75" s="8" t="s">
        <v>182</v>
      </c>
      <c r="D75" s="8" t="s">
        <v>314</v>
      </c>
      <c r="E75" s="8">
        <v>1670881656</v>
      </c>
      <c r="F75" s="8" t="s">
        <v>309</v>
      </c>
      <c r="G75" s="8" t="s">
        <v>185</v>
      </c>
      <c r="H75" s="10" t="s">
        <v>19</v>
      </c>
      <c r="I75" s="6" t="s">
        <v>307</v>
      </c>
      <c r="J75" s="20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4">
      <c r="A76" s="3"/>
      <c r="B76" s="10">
        <v>73</v>
      </c>
      <c r="C76" s="8" t="s">
        <v>182</v>
      </c>
      <c r="D76" s="8" t="s">
        <v>315</v>
      </c>
      <c r="E76" s="8">
        <v>1820439245</v>
      </c>
      <c r="F76" s="8" t="s">
        <v>309</v>
      </c>
      <c r="G76" s="8" t="s">
        <v>185</v>
      </c>
      <c r="H76" s="10" t="s">
        <v>19</v>
      </c>
      <c r="I76" s="6" t="s">
        <v>316</v>
      </c>
      <c r="J76" s="20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4">
      <c r="A77" s="3"/>
      <c r="B77" s="10">
        <v>74</v>
      </c>
      <c r="C77" s="8" t="s">
        <v>182</v>
      </c>
      <c r="D77" s="8" t="s">
        <v>317</v>
      </c>
      <c r="E77" s="8">
        <v>1676340146</v>
      </c>
      <c r="F77" s="8" t="s">
        <v>309</v>
      </c>
      <c r="G77" s="8" t="s">
        <v>185</v>
      </c>
      <c r="H77" s="10" t="s">
        <v>19</v>
      </c>
      <c r="I77" s="6"/>
      <c r="J77" s="20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>
      <c r="A78" s="3"/>
      <c r="B78" s="10"/>
      <c r="C78" s="14"/>
      <c r="D78" s="14"/>
      <c r="E78" s="14"/>
      <c r="F78" s="14"/>
      <c r="G78" s="14"/>
      <c r="H78" s="14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>
      <c r="A79" s="3"/>
      <c r="B79" s="14"/>
      <c r="C79" s="14"/>
      <c r="D79" s="14"/>
      <c r="E79" s="14"/>
      <c r="F79" s="14"/>
      <c r="G79" s="14"/>
      <c r="H79" s="14"/>
      <c r="I79" s="1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>
      <c r="A80" s="3"/>
      <c r="B80" s="14"/>
      <c r="C80" s="14"/>
      <c r="D80" s="14"/>
      <c r="E80" s="14"/>
      <c r="F80" s="14"/>
      <c r="G80" s="14"/>
      <c r="H80" s="14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3"/>
      <c r="B81" s="14"/>
      <c r="C81" s="14"/>
      <c r="D81" s="14"/>
      <c r="E81" s="14"/>
      <c r="F81" s="14"/>
      <c r="G81" s="14"/>
      <c r="H81" s="14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>
      <c r="A82" s="3"/>
      <c r="B82" s="14"/>
      <c r="C82" s="14"/>
      <c r="D82" s="14"/>
      <c r="E82" s="14"/>
      <c r="F82" s="14"/>
      <c r="G82" s="14"/>
      <c r="H82" s="14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3"/>
      <c r="B83" s="14"/>
      <c r="C83" s="14"/>
      <c r="D83" s="14"/>
      <c r="E83" s="14"/>
      <c r="F83" s="14"/>
      <c r="G83" s="14"/>
      <c r="H83" s="14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>
      <c r="A84" s="3"/>
      <c r="B84" s="14"/>
      <c r="C84" s="14"/>
      <c r="D84" s="14"/>
      <c r="E84" s="14"/>
      <c r="F84" s="14"/>
      <c r="G84" s="14"/>
      <c r="H84" s="14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>
      <c r="A85" s="3"/>
      <c r="B85" s="14"/>
      <c r="C85" s="14"/>
      <c r="D85" s="14"/>
      <c r="E85" s="14"/>
      <c r="F85" s="14"/>
      <c r="G85" s="14"/>
      <c r="H85" s="14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>
      <c r="A86" s="3"/>
      <c r="B86" s="14"/>
      <c r="C86" s="14"/>
      <c r="D86" s="14"/>
      <c r="E86" s="14"/>
      <c r="F86" s="14"/>
      <c r="G86" s="14"/>
      <c r="H86" s="14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>
      <c r="A87" s="3"/>
      <c r="B87" s="14"/>
      <c r="C87" s="14"/>
      <c r="D87" s="14"/>
      <c r="E87" s="14"/>
      <c r="F87" s="14"/>
      <c r="G87" s="14"/>
      <c r="H87" s="14"/>
      <c r="I87" s="1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>
      <c r="A88" s="3"/>
      <c r="B88" s="14"/>
      <c r="C88" s="14"/>
      <c r="D88" s="14"/>
      <c r="E88" s="14"/>
      <c r="F88" s="14"/>
      <c r="G88" s="14"/>
      <c r="H88" s="14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>
      <c r="A89" s="3"/>
      <c r="B89" s="14"/>
      <c r="C89" s="14"/>
      <c r="D89" s="14"/>
      <c r="E89" s="14"/>
      <c r="F89" s="14"/>
      <c r="G89" s="14"/>
      <c r="H89" s="14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>
      <c r="A90" s="3"/>
      <c r="B90" s="14"/>
      <c r="C90" s="14"/>
      <c r="D90" s="14"/>
      <c r="E90" s="14"/>
      <c r="F90" s="14"/>
      <c r="G90" s="14"/>
      <c r="H90" s="14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3"/>
      <c r="B91" s="14"/>
      <c r="C91" s="14"/>
      <c r="D91" s="14"/>
      <c r="E91" s="14"/>
      <c r="F91" s="14"/>
      <c r="G91" s="14"/>
      <c r="H91" s="14"/>
      <c r="I91" s="1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>
      <c r="A92" s="3"/>
      <c r="B92" s="14"/>
      <c r="C92" s="14"/>
      <c r="D92" s="14"/>
      <c r="E92" s="14"/>
      <c r="F92" s="14"/>
      <c r="G92" s="14"/>
      <c r="H92" s="14"/>
      <c r="I92" s="1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>
      <c r="A93" s="3"/>
      <c r="B93" s="14"/>
      <c r="C93" s="14"/>
      <c r="D93" s="14"/>
      <c r="E93" s="14"/>
      <c r="F93" s="14"/>
      <c r="G93" s="14"/>
      <c r="H93" s="14"/>
      <c r="I93" s="1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>
      <c r="A94" s="3"/>
      <c r="B94" s="14"/>
      <c r="C94" s="14"/>
      <c r="D94" s="14"/>
      <c r="E94" s="14"/>
      <c r="F94" s="14"/>
      <c r="G94" s="14"/>
      <c r="H94" s="14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>
      <c r="A95" s="3"/>
      <c r="B95" s="14"/>
      <c r="C95" s="14"/>
      <c r="D95" s="14"/>
      <c r="E95" s="14"/>
      <c r="F95" s="14"/>
      <c r="G95" s="14"/>
      <c r="H95" s="14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>
      <c r="A96" s="3"/>
      <c r="B96" s="14"/>
      <c r="C96" s="14"/>
      <c r="D96" s="14"/>
      <c r="E96" s="14"/>
      <c r="F96" s="14"/>
      <c r="G96" s="14"/>
      <c r="H96" s="14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>
      <c r="A97" s="3"/>
      <c r="B97" s="14"/>
      <c r="C97" s="14"/>
      <c r="D97" s="14"/>
      <c r="E97" s="14"/>
      <c r="F97" s="14"/>
      <c r="G97" s="14"/>
      <c r="H97" s="14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>
      <c r="A98" s="3"/>
      <c r="B98" s="14"/>
      <c r="C98" s="14"/>
      <c r="D98" s="14"/>
      <c r="E98" s="14"/>
      <c r="F98" s="14"/>
      <c r="G98" s="14"/>
      <c r="H98" s="14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>
      <c r="A99" s="3"/>
      <c r="B99" s="14"/>
      <c r="C99" s="14"/>
      <c r="D99" s="14"/>
      <c r="E99" s="14"/>
      <c r="F99" s="14"/>
      <c r="G99" s="14"/>
      <c r="H99" s="14"/>
      <c r="I99" s="1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>
      <c r="A100" s="3"/>
      <c r="B100" s="14"/>
      <c r="C100" s="14"/>
      <c r="D100" s="14"/>
      <c r="E100" s="14"/>
      <c r="F100" s="14"/>
      <c r="G100" s="14"/>
      <c r="H100" s="14"/>
      <c r="I100" s="1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F2:I2"/>
  </mergeCells>
  <dataValidations count="1">
    <dataValidation type="list" allowBlank="1" showErrorMessage="1" sqref="H78:H100" xr:uid="{00000000-0002-0000-0400-000000000000}">
      <formula1>"B2B,B2C"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2" max="2" width="7.33203125" customWidth="1"/>
    <col min="3" max="3" width="11.21875" customWidth="1"/>
    <col min="4" max="4" width="30.109375" customWidth="1"/>
    <col min="5" max="5" width="14.109375" customWidth="1"/>
    <col min="9" max="9" width="16.21875" customWidth="1"/>
    <col min="10" max="10" width="16.777343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2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2" t="s">
        <v>0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6">
        <v>1</v>
      </c>
      <c r="C4" s="8" t="s">
        <v>436</v>
      </c>
      <c r="D4" s="8" t="s">
        <v>437</v>
      </c>
      <c r="E4" s="8">
        <v>1608065160</v>
      </c>
      <c r="F4" s="33">
        <v>46121</v>
      </c>
      <c r="G4" s="6"/>
      <c r="H4" s="6" t="s">
        <v>19</v>
      </c>
      <c r="I4" s="6" t="s">
        <v>438</v>
      </c>
      <c r="J4" s="26" t="s">
        <v>324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6">
        <v>2</v>
      </c>
      <c r="C5" s="8" t="s">
        <v>436</v>
      </c>
      <c r="D5" s="8" t="s">
        <v>439</v>
      </c>
      <c r="E5" s="8">
        <v>1750186689</v>
      </c>
      <c r="F5" s="33">
        <v>46125</v>
      </c>
      <c r="G5" s="6"/>
      <c r="H5" s="6" t="s">
        <v>19</v>
      </c>
      <c r="I5" s="6" t="s">
        <v>438</v>
      </c>
      <c r="J5" s="26" t="s">
        <v>324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6">
        <v>3</v>
      </c>
      <c r="C6" s="8" t="s">
        <v>436</v>
      </c>
      <c r="D6" s="8" t="s">
        <v>440</v>
      </c>
      <c r="E6" s="8">
        <v>1109522542</v>
      </c>
      <c r="F6" s="33">
        <v>46137</v>
      </c>
      <c r="G6" s="6"/>
      <c r="H6" s="6" t="s">
        <v>19</v>
      </c>
      <c r="I6" s="6" t="s">
        <v>438</v>
      </c>
      <c r="J6" s="26" t="s">
        <v>324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6">
        <v>4</v>
      </c>
      <c r="C7" s="8" t="s">
        <v>436</v>
      </c>
      <c r="D7" s="8" t="s">
        <v>441</v>
      </c>
      <c r="E7" s="8">
        <v>1811297002</v>
      </c>
      <c r="F7" s="33">
        <v>46141</v>
      </c>
      <c r="G7" s="6"/>
      <c r="H7" s="6" t="s">
        <v>19</v>
      </c>
      <c r="I7" s="6" t="s">
        <v>438</v>
      </c>
      <c r="J7" s="26" t="s">
        <v>324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6">
        <v>5</v>
      </c>
      <c r="C8" s="8" t="s">
        <v>436</v>
      </c>
      <c r="D8" s="8" t="s">
        <v>442</v>
      </c>
      <c r="E8" s="8">
        <v>1232594386</v>
      </c>
      <c r="F8" s="33">
        <v>46155</v>
      </c>
      <c r="G8" s="6"/>
      <c r="H8" s="6" t="s">
        <v>19</v>
      </c>
      <c r="I8" s="6" t="s">
        <v>438</v>
      </c>
      <c r="J8" s="26" t="s">
        <v>324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6">
        <v>6</v>
      </c>
      <c r="C9" s="8" t="s">
        <v>436</v>
      </c>
      <c r="D9" s="8" t="s">
        <v>443</v>
      </c>
      <c r="E9" s="8">
        <v>1487288297</v>
      </c>
      <c r="F9" s="33">
        <v>46149</v>
      </c>
      <c r="G9" s="6"/>
      <c r="H9" s="6" t="s">
        <v>19</v>
      </c>
      <c r="I9" s="6" t="s">
        <v>444</v>
      </c>
      <c r="J9" s="26" t="s">
        <v>324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6">
        <v>7</v>
      </c>
      <c r="C10" s="8" t="s">
        <v>436</v>
      </c>
      <c r="D10" s="8" t="s">
        <v>445</v>
      </c>
      <c r="E10" s="8">
        <v>1676311014</v>
      </c>
      <c r="F10" s="33">
        <v>46163</v>
      </c>
      <c r="G10" s="6"/>
      <c r="H10" s="6" t="s">
        <v>19</v>
      </c>
      <c r="I10" s="6" t="s">
        <v>444</v>
      </c>
      <c r="J10" s="26" t="s">
        <v>324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6">
        <v>8</v>
      </c>
      <c r="C11" s="8" t="s">
        <v>436</v>
      </c>
      <c r="D11" s="8" t="s">
        <v>446</v>
      </c>
      <c r="E11" s="8">
        <v>1851294619</v>
      </c>
      <c r="F11" s="33">
        <v>46163</v>
      </c>
      <c r="G11" s="6"/>
      <c r="H11" s="6" t="s">
        <v>19</v>
      </c>
      <c r="I11" s="6" t="s">
        <v>444</v>
      </c>
      <c r="J11" s="26" t="s">
        <v>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6">
        <v>9</v>
      </c>
      <c r="C12" s="8" t="s">
        <v>436</v>
      </c>
      <c r="D12" s="8" t="s">
        <v>447</v>
      </c>
      <c r="E12" s="8">
        <v>1499665635</v>
      </c>
      <c r="F12" s="33">
        <v>46163</v>
      </c>
      <c r="G12" s="6"/>
      <c r="H12" s="6" t="s">
        <v>19</v>
      </c>
      <c r="I12" s="6" t="s">
        <v>438</v>
      </c>
      <c r="J12" s="26" t="s">
        <v>324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6">
        <v>10</v>
      </c>
      <c r="C13" s="8" t="s">
        <v>436</v>
      </c>
      <c r="D13" s="8" t="s">
        <v>82</v>
      </c>
      <c r="E13" s="8">
        <v>1992494624</v>
      </c>
      <c r="F13" s="33">
        <v>46167</v>
      </c>
      <c r="G13" s="6"/>
      <c r="H13" s="6" t="s">
        <v>19</v>
      </c>
      <c r="I13" s="6" t="s">
        <v>438</v>
      </c>
      <c r="J13" s="26" t="s">
        <v>23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6">
        <v>11</v>
      </c>
      <c r="C14" s="8" t="s">
        <v>436</v>
      </c>
      <c r="D14" s="8" t="s">
        <v>448</v>
      </c>
      <c r="E14" s="8">
        <v>1126866508</v>
      </c>
      <c r="F14" s="33">
        <v>46171</v>
      </c>
      <c r="G14" s="6"/>
      <c r="H14" s="6" t="s">
        <v>19</v>
      </c>
      <c r="I14" s="6" t="s">
        <v>438</v>
      </c>
      <c r="J14" s="26" t="s">
        <v>324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6">
        <v>12</v>
      </c>
      <c r="C15" s="8" t="s">
        <v>436</v>
      </c>
      <c r="D15" s="8" t="s">
        <v>391</v>
      </c>
      <c r="E15" s="8">
        <v>1418823332</v>
      </c>
      <c r="F15" s="33">
        <v>46196</v>
      </c>
      <c r="G15" s="6"/>
      <c r="H15" s="6" t="s">
        <v>19</v>
      </c>
      <c r="I15" s="6" t="s">
        <v>438</v>
      </c>
      <c r="J15" s="26" t="s">
        <v>23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6">
        <v>13</v>
      </c>
      <c r="C16" s="8" t="s">
        <v>436</v>
      </c>
      <c r="D16" s="8" t="s">
        <v>449</v>
      </c>
      <c r="E16" s="8">
        <v>1299088587</v>
      </c>
      <c r="F16" s="33">
        <v>46196</v>
      </c>
      <c r="G16" s="6"/>
      <c r="H16" s="6" t="s">
        <v>19</v>
      </c>
      <c r="I16" s="6" t="s">
        <v>438</v>
      </c>
      <c r="J16" s="26" t="s">
        <v>324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6">
        <v>14</v>
      </c>
      <c r="C17" s="8" t="s">
        <v>436</v>
      </c>
      <c r="D17" s="8" t="s">
        <v>450</v>
      </c>
      <c r="E17" s="8">
        <v>1634493813</v>
      </c>
      <c r="F17" s="33">
        <v>46196</v>
      </c>
      <c r="G17" s="6"/>
      <c r="H17" s="6" t="s">
        <v>19</v>
      </c>
      <c r="I17" s="6" t="s">
        <v>444</v>
      </c>
      <c r="J17" s="26" t="s">
        <v>324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6">
        <v>15</v>
      </c>
      <c r="C18" s="8" t="s">
        <v>436</v>
      </c>
      <c r="D18" s="8" t="s">
        <v>451</v>
      </c>
      <c r="E18" s="8">
        <v>1328685206</v>
      </c>
      <c r="F18" s="33">
        <v>46196</v>
      </c>
      <c r="G18" s="6"/>
      <c r="H18" s="6" t="s">
        <v>19</v>
      </c>
      <c r="I18" s="6" t="s">
        <v>444</v>
      </c>
      <c r="J18" s="26" t="s">
        <v>324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6">
        <v>16</v>
      </c>
      <c r="C19" s="8" t="s">
        <v>436</v>
      </c>
      <c r="D19" s="8" t="s">
        <v>452</v>
      </c>
      <c r="E19" s="8">
        <v>1428012293</v>
      </c>
      <c r="F19" s="33">
        <v>46209</v>
      </c>
      <c r="G19" s="6"/>
      <c r="H19" s="6" t="s">
        <v>19</v>
      </c>
      <c r="I19" s="6" t="s">
        <v>438</v>
      </c>
      <c r="J19" s="26" t="s">
        <v>324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6">
        <v>17</v>
      </c>
      <c r="C20" s="8" t="s">
        <v>436</v>
      </c>
      <c r="D20" s="8" t="s">
        <v>453</v>
      </c>
      <c r="E20" s="8">
        <v>1800975214</v>
      </c>
      <c r="F20" s="33">
        <v>46218</v>
      </c>
      <c r="G20" s="6"/>
      <c r="H20" s="6" t="s">
        <v>19</v>
      </c>
      <c r="I20" s="6" t="s">
        <v>438</v>
      </c>
      <c r="J20" s="26" t="s">
        <v>324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6">
        <v>18</v>
      </c>
      <c r="C21" s="8" t="s">
        <v>436</v>
      </c>
      <c r="D21" s="8" t="s">
        <v>454</v>
      </c>
      <c r="E21" s="8">
        <v>1508356015</v>
      </c>
      <c r="F21" s="33">
        <v>46210</v>
      </c>
      <c r="G21" s="6"/>
      <c r="H21" s="6" t="s">
        <v>19</v>
      </c>
      <c r="I21" s="6" t="s">
        <v>438</v>
      </c>
      <c r="J21" s="26" t="s">
        <v>324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6">
        <v>19</v>
      </c>
      <c r="C22" s="8" t="s">
        <v>436</v>
      </c>
      <c r="D22" s="8" t="s">
        <v>455</v>
      </c>
      <c r="E22" s="8">
        <v>1719438303</v>
      </c>
      <c r="F22" s="33">
        <v>46209</v>
      </c>
      <c r="G22" s="6"/>
      <c r="H22" s="6" t="s">
        <v>19</v>
      </c>
      <c r="I22" s="6" t="s">
        <v>438</v>
      </c>
      <c r="J22" s="26" t="s">
        <v>324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6">
        <v>20</v>
      </c>
      <c r="C23" s="8" t="s">
        <v>436</v>
      </c>
      <c r="D23" s="8" t="s">
        <v>456</v>
      </c>
      <c r="E23" s="8">
        <v>1953240025</v>
      </c>
      <c r="F23" s="33">
        <v>46213</v>
      </c>
      <c r="G23" s="6"/>
      <c r="H23" s="6" t="s">
        <v>19</v>
      </c>
      <c r="I23" s="6" t="s">
        <v>444</v>
      </c>
      <c r="J23" s="26" t="s">
        <v>324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6">
        <v>21</v>
      </c>
      <c r="C24" s="8" t="s">
        <v>436</v>
      </c>
      <c r="D24" s="8" t="s">
        <v>457</v>
      </c>
      <c r="E24" s="8">
        <v>1761676932</v>
      </c>
      <c r="F24" s="33">
        <v>46213</v>
      </c>
      <c r="G24" s="6"/>
      <c r="H24" s="6" t="s">
        <v>19</v>
      </c>
      <c r="I24" s="6" t="s">
        <v>438</v>
      </c>
      <c r="J24" s="26" t="s">
        <v>324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6">
        <v>22</v>
      </c>
      <c r="C25" s="8" t="s">
        <v>436</v>
      </c>
      <c r="D25" s="8" t="s">
        <v>458</v>
      </c>
      <c r="E25" s="8">
        <v>1604384741</v>
      </c>
      <c r="F25" s="33">
        <v>46225</v>
      </c>
      <c r="G25" s="6"/>
      <c r="H25" s="6" t="s">
        <v>19</v>
      </c>
      <c r="I25" s="6" t="s">
        <v>444</v>
      </c>
      <c r="J25" s="26" t="s">
        <v>324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6">
        <v>23</v>
      </c>
      <c r="C26" s="8" t="s">
        <v>436</v>
      </c>
      <c r="D26" s="8" t="s">
        <v>459</v>
      </c>
      <c r="E26" s="8">
        <v>1816804174</v>
      </c>
      <c r="F26" s="33">
        <v>46223</v>
      </c>
      <c r="G26" s="6"/>
      <c r="H26" s="6" t="s">
        <v>19</v>
      </c>
      <c r="I26" s="6" t="s">
        <v>438</v>
      </c>
      <c r="J26" s="26" t="s">
        <v>324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6">
        <v>24</v>
      </c>
      <c r="C27" s="8" t="s">
        <v>436</v>
      </c>
      <c r="D27" s="8" t="s">
        <v>460</v>
      </c>
      <c r="E27" s="8">
        <v>1798741019</v>
      </c>
      <c r="F27" s="33">
        <v>46223</v>
      </c>
      <c r="G27" s="6"/>
      <c r="H27" s="6" t="s">
        <v>19</v>
      </c>
      <c r="I27" s="6" t="s">
        <v>444</v>
      </c>
      <c r="J27" s="26" t="s">
        <v>23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6">
        <v>25</v>
      </c>
      <c r="C28" s="8" t="s">
        <v>436</v>
      </c>
      <c r="D28" s="8" t="s">
        <v>461</v>
      </c>
      <c r="E28" s="8">
        <v>1754326861</v>
      </c>
      <c r="F28" s="33">
        <v>46225</v>
      </c>
      <c r="G28" s="6"/>
      <c r="H28" s="6" t="s">
        <v>19</v>
      </c>
      <c r="I28" s="6" t="s">
        <v>438</v>
      </c>
      <c r="J28" s="26" t="s">
        <v>324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4">
      <c r="A29" s="3"/>
      <c r="B29" s="6">
        <v>26</v>
      </c>
      <c r="C29" s="8" t="s">
        <v>436</v>
      </c>
      <c r="D29" s="8" t="s">
        <v>462</v>
      </c>
      <c r="E29" s="8">
        <v>1725093103</v>
      </c>
      <c r="F29" s="33">
        <v>46219</v>
      </c>
      <c r="G29" s="6"/>
      <c r="H29" s="6" t="s">
        <v>19</v>
      </c>
      <c r="I29" s="6" t="s">
        <v>444</v>
      </c>
      <c r="J29" s="26" t="s">
        <v>324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4">
      <c r="A30" s="3"/>
      <c r="B30" s="6">
        <v>27</v>
      </c>
      <c r="C30" s="8" t="s">
        <v>436</v>
      </c>
      <c r="D30" s="8" t="s">
        <v>463</v>
      </c>
      <c r="E30" s="8">
        <v>1523642939</v>
      </c>
      <c r="F30" s="33">
        <v>46231</v>
      </c>
      <c r="G30" s="6"/>
      <c r="H30" s="6" t="s">
        <v>19</v>
      </c>
      <c r="I30" s="6" t="s">
        <v>438</v>
      </c>
      <c r="J30" s="26" t="s">
        <v>324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4">
      <c r="A31" s="3"/>
      <c r="B31" s="6">
        <v>28</v>
      </c>
      <c r="C31" s="8" t="s">
        <v>436</v>
      </c>
      <c r="D31" s="8" t="s">
        <v>464</v>
      </c>
      <c r="E31" s="8">
        <v>1856028538</v>
      </c>
      <c r="F31" s="33">
        <v>46225</v>
      </c>
      <c r="G31" s="6"/>
      <c r="H31" s="6" t="s">
        <v>19</v>
      </c>
      <c r="I31" s="6" t="s">
        <v>438</v>
      </c>
      <c r="J31" s="26" t="s">
        <v>324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4">
      <c r="A32" s="3"/>
      <c r="B32" s="6">
        <v>29</v>
      </c>
      <c r="C32" s="8" t="s">
        <v>436</v>
      </c>
      <c r="D32" s="8" t="s">
        <v>465</v>
      </c>
      <c r="E32" s="8">
        <v>1715663884</v>
      </c>
      <c r="F32" s="33">
        <v>46225</v>
      </c>
      <c r="G32" s="6"/>
      <c r="H32" s="6" t="s">
        <v>19</v>
      </c>
      <c r="I32" s="6" t="s">
        <v>444</v>
      </c>
      <c r="J32" s="26" t="s">
        <v>324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4">
      <c r="A33" s="3"/>
      <c r="B33" s="6">
        <v>30</v>
      </c>
      <c r="C33" s="8" t="s">
        <v>436</v>
      </c>
      <c r="D33" s="8" t="s">
        <v>466</v>
      </c>
      <c r="E33" s="8">
        <v>1261078688</v>
      </c>
      <c r="F33" s="33">
        <v>46231</v>
      </c>
      <c r="G33" s="6"/>
      <c r="H33" s="6" t="s">
        <v>19</v>
      </c>
      <c r="I33" s="6" t="s">
        <v>438</v>
      </c>
      <c r="J33" s="26" t="s">
        <v>23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4">
      <c r="A34" s="3"/>
      <c r="B34" s="6">
        <v>31</v>
      </c>
      <c r="C34" s="8" t="s">
        <v>436</v>
      </c>
      <c r="D34" s="8" t="s">
        <v>467</v>
      </c>
      <c r="E34" s="8">
        <v>1583009510</v>
      </c>
      <c r="F34" s="33">
        <v>46231</v>
      </c>
      <c r="G34" s="6"/>
      <c r="H34" s="6" t="s">
        <v>19</v>
      </c>
      <c r="I34" s="6" t="s">
        <v>438</v>
      </c>
      <c r="J34" s="26" t="s">
        <v>324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4">
      <c r="A35" s="3"/>
      <c r="B35" s="6">
        <v>32</v>
      </c>
      <c r="C35" s="8" t="s">
        <v>436</v>
      </c>
      <c r="D35" s="8" t="s">
        <v>468</v>
      </c>
      <c r="E35" s="8">
        <v>1481016928</v>
      </c>
      <c r="F35" s="33">
        <v>46237</v>
      </c>
      <c r="G35" s="6"/>
      <c r="H35" s="6" t="s">
        <v>19</v>
      </c>
      <c r="I35" s="6" t="s">
        <v>444</v>
      </c>
      <c r="J35" s="26" t="s">
        <v>324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4">
      <c r="A36" s="3"/>
      <c r="B36" s="6">
        <v>33</v>
      </c>
      <c r="C36" s="8" t="s">
        <v>436</v>
      </c>
      <c r="D36" s="8" t="s">
        <v>469</v>
      </c>
      <c r="E36" s="8">
        <v>1539177445</v>
      </c>
      <c r="F36" s="33">
        <v>46237</v>
      </c>
      <c r="G36" s="6"/>
      <c r="H36" s="6" t="s">
        <v>19</v>
      </c>
      <c r="I36" s="6" t="s">
        <v>444</v>
      </c>
      <c r="J36" s="26" t="s">
        <v>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4">
      <c r="A37" s="3"/>
      <c r="B37" s="6">
        <v>34</v>
      </c>
      <c r="C37" s="8" t="s">
        <v>436</v>
      </c>
      <c r="D37" s="8" t="s">
        <v>470</v>
      </c>
      <c r="E37" s="8">
        <v>1156097205</v>
      </c>
      <c r="F37" s="33">
        <v>46238</v>
      </c>
      <c r="G37" s="6"/>
      <c r="H37" s="6" t="s">
        <v>19</v>
      </c>
      <c r="I37" s="6" t="s">
        <v>438</v>
      </c>
      <c r="J37" s="26" t="s">
        <v>324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4">
      <c r="A38" s="3"/>
      <c r="B38" s="6">
        <v>35</v>
      </c>
      <c r="C38" s="8" t="s">
        <v>436</v>
      </c>
      <c r="D38" s="8" t="s">
        <v>471</v>
      </c>
      <c r="E38" s="8">
        <v>1409165026</v>
      </c>
      <c r="F38" s="33">
        <v>46238</v>
      </c>
      <c r="G38" s="6"/>
      <c r="H38" s="6" t="s">
        <v>19</v>
      </c>
      <c r="I38" s="6" t="s">
        <v>444</v>
      </c>
      <c r="J38" s="26" t="s">
        <v>324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4">
      <c r="A39" s="3"/>
      <c r="B39" s="6">
        <v>36</v>
      </c>
      <c r="C39" s="8" t="s">
        <v>436</v>
      </c>
      <c r="D39" s="8" t="s">
        <v>472</v>
      </c>
      <c r="E39" s="8">
        <v>1398641363</v>
      </c>
      <c r="F39" s="33">
        <v>46238</v>
      </c>
      <c r="G39" s="6"/>
      <c r="H39" s="6" t="s">
        <v>19</v>
      </c>
      <c r="I39" s="6" t="s">
        <v>444</v>
      </c>
      <c r="J39" s="26" t="s">
        <v>324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4">
      <c r="A40" s="3"/>
      <c r="B40" s="6">
        <v>37</v>
      </c>
      <c r="C40" s="8" t="s">
        <v>436</v>
      </c>
      <c r="D40" s="8" t="s">
        <v>473</v>
      </c>
      <c r="E40" s="8">
        <v>1392274382</v>
      </c>
      <c r="F40" s="33">
        <v>46238</v>
      </c>
      <c r="G40" s="6"/>
      <c r="H40" s="6" t="s">
        <v>19</v>
      </c>
      <c r="I40" s="6" t="s">
        <v>438</v>
      </c>
      <c r="J40" s="26" t="s">
        <v>324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4">
      <c r="A41" s="3"/>
      <c r="B41" s="6">
        <v>38</v>
      </c>
      <c r="C41" s="8" t="s">
        <v>436</v>
      </c>
      <c r="D41" s="8" t="s">
        <v>474</v>
      </c>
      <c r="E41" s="8">
        <v>1901839271</v>
      </c>
      <c r="F41" s="33">
        <v>46240</v>
      </c>
      <c r="G41" s="6"/>
      <c r="H41" s="6" t="s">
        <v>19</v>
      </c>
      <c r="I41" s="6" t="s">
        <v>444</v>
      </c>
      <c r="J41" s="26" t="s">
        <v>324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4">
      <c r="A42" s="3"/>
      <c r="B42" s="6">
        <v>39</v>
      </c>
      <c r="C42" s="8" t="s">
        <v>436</v>
      </c>
      <c r="D42" s="8" t="s">
        <v>475</v>
      </c>
      <c r="E42" s="8">
        <v>1187868072</v>
      </c>
      <c r="F42" s="33">
        <v>46240</v>
      </c>
      <c r="G42" s="6"/>
      <c r="H42" s="6" t="s">
        <v>19</v>
      </c>
      <c r="I42" s="6" t="s">
        <v>438</v>
      </c>
      <c r="J42" s="26" t="s">
        <v>324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4">
      <c r="A43" s="3"/>
      <c r="B43" s="6">
        <v>40</v>
      </c>
      <c r="C43" s="8" t="s">
        <v>436</v>
      </c>
      <c r="D43" s="8" t="s">
        <v>476</v>
      </c>
      <c r="E43" s="8">
        <v>1140872866</v>
      </c>
      <c r="F43" s="33">
        <v>46240</v>
      </c>
      <c r="G43" s="6"/>
      <c r="H43" s="6" t="s">
        <v>19</v>
      </c>
      <c r="I43" s="6" t="s">
        <v>444</v>
      </c>
      <c r="J43" s="26" t="s">
        <v>324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4">
      <c r="A44" s="3"/>
      <c r="B44" s="6">
        <v>41</v>
      </c>
      <c r="C44" s="8" t="s">
        <v>436</v>
      </c>
      <c r="D44" s="8" t="s">
        <v>477</v>
      </c>
      <c r="E44" s="8">
        <v>1444855308</v>
      </c>
      <c r="F44" s="33">
        <v>46240</v>
      </c>
      <c r="G44" s="6"/>
      <c r="H44" s="6" t="s">
        <v>19</v>
      </c>
      <c r="I44" s="6" t="s">
        <v>444</v>
      </c>
      <c r="J44" s="26" t="s">
        <v>324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4">
      <c r="A45" s="3"/>
      <c r="B45" s="6">
        <v>42</v>
      </c>
      <c r="C45" s="8" t="s">
        <v>436</v>
      </c>
      <c r="D45" s="8" t="s">
        <v>478</v>
      </c>
      <c r="E45" s="8">
        <v>1890601012</v>
      </c>
      <c r="F45" s="33">
        <v>46240</v>
      </c>
      <c r="G45" s="6"/>
      <c r="H45" s="6" t="s">
        <v>19</v>
      </c>
      <c r="I45" s="6" t="s">
        <v>438</v>
      </c>
      <c r="J45" s="26" t="s">
        <v>324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4">
      <c r="A46" s="3"/>
      <c r="B46" s="6">
        <v>43</v>
      </c>
      <c r="C46" s="8" t="s">
        <v>436</v>
      </c>
      <c r="D46" s="8" t="s">
        <v>479</v>
      </c>
      <c r="E46" s="8">
        <v>1163494241</v>
      </c>
      <c r="F46" s="33">
        <v>46240</v>
      </c>
      <c r="G46" s="6"/>
      <c r="H46" s="6" t="s">
        <v>19</v>
      </c>
      <c r="I46" s="6" t="s">
        <v>438</v>
      </c>
      <c r="J46" s="26" t="s">
        <v>324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4">
      <c r="A47" s="3"/>
      <c r="B47" s="6">
        <v>44</v>
      </c>
      <c r="C47" s="8" t="s">
        <v>436</v>
      </c>
      <c r="D47" s="8" t="s">
        <v>480</v>
      </c>
      <c r="E47" s="8">
        <v>1856028538</v>
      </c>
      <c r="F47" s="33">
        <v>46240</v>
      </c>
      <c r="G47" s="6"/>
      <c r="H47" s="6" t="s">
        <v>19</v>
      </c>
      <c r="I47" s="6" t="s">
        <v>438</v>
      </c>
      <c r="J47" s="26" t="s">
        <v>324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4">
      <c r="A48" s="3"/>
      <c r="B48" s="6">
        <v>45</v>
      </c>
      <c r="C48" s="8" t="s">
        <v>436</v>
      </c>
      <c r="D48" s="8" t="s">
        <v>481</v>
      </c>
      <c r="E48" s="8">
        <v>1503403948</v>
      </c>
      <c r="F48" s="33">
        <v>46240</v>
      </c>
      <c r="G48" s="6"/>
      <c r="H48" s="6" t="s">
        <v>19</v>
      </c>
      <c r="I48" s="6" t="s">
        <v>438</v>
      </c>
      <c r="J48" s="26" t="s">
        <v>324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4">
      <c r="A49" s="3"/>
      <c r="B49" s="6">
        <v>46</v>
      </c>
      <c r="C49" s="8" t="s">
        <v>436</v>
      </c>
      <c r="D49" s="8" t="s">
        <v>482</v>
      </c>
      <c r="E49" s="8">
        <v>1563664403</v>
      </c>
      <c r="F49" s="33">
        <v>46240</v>
      </c>
      <c r="G49" s="6"/>
      <c r="H49" s="6" t="s">
        <v>19</v>
      </c>
      <c r="I49" s="6" t="s">
        <v>438</v>
      </c>
      <c r="J49" s="26" t="s">
        <v>324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4">
      <c r="A50" s="3"/>
      <c r="B50" s="6">
        <v>47</v>
      </c>
      <c r="C50" s="8" t="s">
        <v>436</v>
      </c>
      <c r="D50" s="8" t="s">
        <v>448</v>
      </c>
      <c r="E50" s="8">
        <v>1126866508</v>
      </c>
      <c r="F50" s="33">
        <v>46240</v>
      </c>
      <c r="G50" s="6"/>
      <c r="H50" s="6" t="s">
        <v>19</v>
      </c>
      <c r="I50" s="6" t="s">
        <v>438</v>
      </c>
      <c r="J50" s="26" t="s">
        <v>324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4">
      <c r="A51" s="3"/>
      <c r="B51" s="6">
        <v>48</v>
      </c>
      <c r="C51" s="8" t="s">
        <v>436</v>
      </c>
      <c r="D51" s="8" t="s">
        <v>483</v>
      </c>
      <c r="E51" s="8">
        <v>1530201710</v>
      </c>
      <c r="F51" s="33">
        <v>46246</v>
      </c>
      <c r="G51" s="6"/>
      <c r="H51" s="6" t="s">
        <v>19</v>
      </c>
      <c r="I51" s="6" t="s">
        <v>438</v>
      </c>
      <c r="J51" s="26" t="s">
        <v>324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4">
      <c r="A52" s="3"/>
      <c r="B52" s="6">
        <v>49</v>
      </c>
      <c r="C52" s="8" t="s">
        <v>436</v>
      </c>
      <c r="D52" s="8" t="s">
        <v>484</v>
      </c>
      <c r="E52" s="8">
        <v>1523642939</v>
      </c>
      <c r="F52" s="33">
        <v>46240</v>
      </c>
      <c r="G52" s="6"/>
      <c r="H52" s="6" t="s">
        <v>19</v>
      </c>
      <c r="I52" s="6" t="s">
        <v>438</v>
      </c>
      <c r="J52" s="26" t="s">
        <v>324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4">
      <c r="A53" s="3"/>
      <c r="B53" s="6">
        <v>50</v>
      </c>
      <c r="C53" s="8" t="s">
        <v>436</v>
      </c>
      <c r="D53" s="8" t="s">
        <v>485</v>
      </c>
      <c r="E53" s="8">
        <v>1218687059</v>
      </c>
      <c r="F53" s="33">
        <v>46246</v>
      </c>
      <c r="G53" s="6"/>
      <c r="H53" s="6" t="s">
        <v>19</v>
      </c>
      <c r="I53" s="6" t="s">
        <v>438</v>
      </c>
      <c r="J53" s="26" t="s">
        <v>324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4">
      <c r="A54" s="3"/>
      <c r="B54" s="6">
        <v>51</v>
      </c>
      <c r="C54" s="8" t="s">
        <v>436</v>
      </c>
      <c r="D54" s="8" t="s">
        <v>486</v>
      </c>
      <c r="E54" s="8">
        <v>1269851343</v>
      </c>
      <c r="F54" s="33">
        <v>46240</v>
      </c>
      <c r="G54" s="6"/>
      <c r="H54" s="6" t="s">
        <v>19</v>
      </c>
      <c r="I54" s="6" t="s">
        <v>438</v>
      </c>
      <c r="J54" s="26" t="s">
        <v>324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4">
      <c r="A55" s="3"/>
      <c r="B55" s="6">
        <v>52</v>
      </c>
      <c r="C55" s="8" t="s">
        <v>436</v>
      </c>
      <c r="D55" s="8" t="s">
        <v>487</v>
      </c>
      <c r="E55" s="8">
        <v>1426790954</v>
      </c>
      <c r="F55" s="33">
        <v>46261</v>
      </c>
      <c r="G55" s="6"/>
      <c r="H55" s="6" t="s">
        <v>19</v>
      </c>
      <c r="I55" s="6" t="s">
        <v>438</v>
      </c>
      <c r="J55" s="26" t="s">
        <v>324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4">
      <c r="A56" s="3"/>
      <c r="B56" s="6">
        <v>53</v>
      </c>
      <c r="C56" s="8" t="s">
        <v>436</v>
      </c>
      <c r="D56" s="8" t="s">
        <v>488</v>
      </c>
      <c r="E56" s="8">
        <v>1448482866</v>
      </c>
      <c r="F56" s="33">
        <v>46240</v>
      </c>
      <c r="G56" s="6"/>
      <c r="H56" s="6" t="s">
        <v>19</v>
      </c>
      <c r="I56" s="6" t="s">
        <v>444</v>
      </c>
      <c r="J56" s="26" t="s">
        <v>23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4">
      <c r="A57" s="3"/>
      <c r="B57" s="6">
        <v>54</v>
      </c>
      <c r="C57" s="8" t="s">
        <v>436</v>
      </c>
      <c r="D57" s="8" t="s">
        <v>489</v>
      </c>
      <c r="E57" s="8">
        <v>1440704014</v>
      </c>
      <c r="F57" s="33">
        <v>46240</v>
      </c>
      <c r="G57" s="6"/>
      <c r="H57" s="6" t="s">
        <v>19</v>
      </c>
      <c r="I57" s="6" t="s">
        <v>444</v>
      </c>
      <c r="J57" s="26" t="s">
        <v>324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4">
      <c r="A58" s="3"/>
      <c r="B58" s="6">
        <v>55</v>
      </c>
      <c r="C58" s="8" t="s">
        <v>436</v>
      </c>
      <c r="D58" s="8" t="s">
        <v>490</v>
      </c>
      <c r="E58" s="8">
        <v>1428012293</v>
      </c>
      <c r="F58" s="33">
        <v>46240</v>
      </c>
      <c r="G58" s="6"/>
      <c r="H58" s="6" t="s">
        <v>19</v>
      </c>
      <c r="I58" s="6" t="s">
        <v>438</v>
      </c>
      <c r="J58" s="26" t="s">
        <v>324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4">
      <c r="A59" s="3"/>
      <c r="B59" s="6">
        <v>56</v>
      </c>
      <c r="C59" s="8" t="s">
        <v>436</v>
      </c>
      <c r="D59" s="8" t="s">
        <v>491</v>
      </c>
      <c r="E59" s="8">
        <v>1465037412</v>
      </c>
      <c r="F59" s="33">
        <v>46240</v>
      </c>
      <c r="G59" s="6"/>
      <c r="H59" s="6" t="s">
        <v>19</v>
      </c>
      <c r="I59" s="6" t="s">
        <v>444</v>
      </c>
      <c r="J59" s="26" t="s">
        <v>324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4">
      <c r="A60" s="3"/>
      <c r="B60" s="6">
        <v>57</v>
      </c>
      <c r="C60" s="8" t="s">
        <v>436</v>
      </c>
      <c r="D60" s="8" t="s">
        <v>492</v>
      </c>
      <c r="E60" s="8">
        <v>1236200973</v>
      </c>
      <c r="F60" s="33">
        <v>46241</v>
      </c>
      <c r="G60" s="6"/>
      <c r="H60" s="6" t="s">
        <v>19</v>
      </c>
      <c r="I60" s="6" t="s">
        <v>438</v>
      </c>
      <c r="J60" s="26" t="s">
        <v>324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4">
      <c r="A61" s="3"/>
      <c r="B61" s="6">
        <v>58</v>
      </c>
      <c r="C61" s="8" t="s">
        <v>436</v>
      </c>
      <c r="D61" s="8" t="s">
        <v>493</v>
      </c>
      <c r="E61" s="8">
        <v>1597432662</v>
      </c>
      <c r="F61" s="33">
        <v>46244</v>
      </c>
      <c r="G61" s="6"/>
      <c r="H61" s="6" t="s">
        <v>19</v>
      </c>
      <c r="I61" s="6" t="s">
        <v>444</v>
      </c>
      <c r="J61" s="26" t="s">
        <v>324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4">
      <c r="A62" s="3"/>
      <c r="B62" s="6">
        <v>59</v>
      </c>
      <c r="C62" s="8" t="s">
        <v>436</v>
      </c>
      <c r="D62" s="8" t="s">
        <v>494</v>
      </c>
      <c r="E62" s="8">
        <v>1506393615</v>
      </c>
      <c r="F62" s="33">
        <v>46244</v>
      </c>
      <c r="G62" s="6"/>
      <c r="H62" s="6" t="s">
        <v>19</v>
      </c>
      <c r="I62" s="6" t="s">
        <v>444</v>
      </c>
      <c r="J62" s="26" t="s">
        <v>324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4">
      <c r="A63" s="3"/>
      <c r="B63" s="6">
        <v>60</v>
      </c>
      <c r="C63" s="8" t="s">
        <v>436</v>
      </c>
      <c r="D63" s="8" t="s">
        <v>495</v>
      </c>
      <c r="E63" s="8">
        <v>3000051489</v>
      </c>
      <c r="F63" s="33">
        <v>46244</v>
      </c>
      <c r="G63" s="6"/>
      <c r="H63" s="6" t="s">
        <v>19</v>
      </c>
      <c r="I63" s="6" t="s">
        <v>444</v>
      </c>
      <c r="J63" s="26" t="s">
        <v>324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4">
      <c r="A64" s="3"/>
      <c r="B64" s="6">
        <v>61</v>
      </c>
      <c r="C64" s="8" t="s">
        <v>436</v>
      </c>
      <c r="D64" s="8" t="s">
        <v>496</v>
      </c>
      <c r="E64" s="8">
        <v>1561444461</v>
      </c>
      <c r="F64" s="33">
        <v>46244</v>
      </c>
      <c r="G64" s="6"/>
      <c r="H64" s="6" t="s">
        <v>19</v>
      </c>
      <c r="I64" s="6" t="s">
        <v>444</v>
      </c>
      <c r="J64" s="26" t="s">
        <v>324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4">
      <c r="A65" s="3"/>
      <c r="B65" s="6">
        <v>62</v>
      </c>
      <c r="C65" s="8" t="s">
        <v>436</v>
      </c>
      <c r="D65" s="8" t="s">
        <v>497</v>
      </c>
      <c r="E65" s="8">
        <v>1846334621</v>
      </c>
      <c r="F65" s="33">
        <v>46244</v>
      </c>
      <c r="G65" s="6"/>
      <c r="H65" s="6" t="s">
        <v>19</v>
      </c>
      <c r="I65" s="6" t="s">
        <v>444</v>
      </c>
      <c r="J65" s="26" t="s">
        <v>324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4">
      <c r="A66" s="3"/>
      <c r="B66" s="6">
        <v>63</v>
      </c>
      <c r="C66" s="8" t="s">
        <v>436</v>
      </c>
      <c r="D66" s="8" t="s">
        <v>456</v>
      </c>
      <c r="E66" s="8">
        <v>1953240025</v>
      </c>
      <c r="F66" s="33">
        <v>46244</v>
      </c>
      <c r="G66" s="6"/>
      <c r="H66" s="6" t="s">
        <v>19</v>
      </c>
      <c r="I66" s="6" t="s">
        <v>444</v>
      </c>
      <c r="J66" s="26" t="s">
        <v>324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4">
      <c r="A67" s="3"/>
      <c r="B67" s="6">
        <v>64</v>
      </c>
      <c r="C67" s="8" t="s">
        <v>436</v>
      </c>
      <c r="D67" s="8" t="s">
        <v>498</v>
      </c>
      <c r="E67" s="8">
        <v>1275179065</v>
      </c>
      <c r="F67" s="33">
        <v>46261</v>
      </c>
      <c r="G67" s="6"/>
      <c r="H67" s="6" t="s">
        <v>19</v>
      </c>
      <c r="I67" s="6" t="s">
        <v>438</v>
      </c>
      <c r="J67" s="26" t="s">
        <v>324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4">
      <c r="A68" s="3"/>
      <c r="B68" s="6">
        <v>65</v>
      </c>
      <c r="C68" s="8" t="s">
        <v>436</v>
      </c>
      <c r="D68" s="8" t="s">
        <v>499</v>
      </c>
      <c r="E68" s="8">
        <v>1714472560</v>
      </c>
      <c r="F68" s="33">
        <v>46244</v>
      </c>
      <c r="G68" s="6"/>
      <c r="H68" s="6" t="s">
        <v>19</v>
      </c>
      <c r="I68" s="6" t="s">
        <v>444</v>
      </c>
      <c r="J68" s="26" t="s">
        <v>324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4">
      <c r="A69" s="3"/>
      <c r="B69" s="6">
        <v>66</v>
      </c>
      <c r="C69" s="8" t="s">
        <v>436</v>
      </c>
      <c r="D69" s="8" t="s">
        <v>468</v>
      </c>
      <c r="E69" s="8">
        <v>1481016928</v>
      </c>
      <c r="F69" s="33">
        <v>46244</v>
      </c>
      <c r="G69" s="6"/>
      <c r="H69" s="6" t="s">
        <v>19</v>
      </c>
      <c r="I69" s="6" t="s">
        <v>444</v>
      </c>
      <c r="J69" s="26" t="s">
        <v>324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4">
      <c r="A70" s="3"/>
      <c r="B70" s="6">
        <v>67</v>
      </c>
      <c r="C70" s="8" t="s">
        <v>436</v>
      </c>
      <c r="D70" s="8" t="s">
        <v>500</v>
      </c>
      <c r="E70" s="8">
        <v>1871029020</v>
      </c>
      <c r="F70" s="33">
        <v>46251</v>
      </c>
      <c r="G70" s="6"/>
      <c r="H70" s="6" t="s">
        <v>19</v>
      </c>
      <c r="I70" s="6" t="s">
        <v>444</v>
      </c>
      <c r="J70" s="26" t="s">
        <v>324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4">
      <c r="A71" s="3"/>
      <c r="B71" s="6">
        <v>68</v>
      </c>
      <c r="C71" s="8" t="s">
        <v>436</v>
      </c>
      <c r="D71" s="8" t="s">
        <v>501</v>
      </c>
      <c r="E71" s="8">
        <v>1891033245</v>
      </c>
      <c r="F71" s="33">
        <v>46244</v>
      </c>
      <c r="G71" s="6"/>
      <c r="H71" s="6" t="s">
        <v>19</v>
      </c>
      <c r="I71" s="6" t="s">
        <v>444</v>
      </c>
      <c r="J71" s="26" t="s">
        <v>324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4">
      <c r="A72" s="3"/>
      <c r="B72" s="6">
        <v>69</v>
      </c>
      <c r="C72" s="8" t="s">
        <v>436</v>
      </c>
      <c r="D72" s="8" t="s">
        <v>502</v>
      </c>
      <c r="E72" s="8">
        <v>1106864670</v>
      </c>
      <c r="F72" s="33">
        <v>46244</v>
      </c>
      <c r="G72" s="6"/>
      <c r="H72" s="6" t="s">
        <v>19</v>
      </c>
      <c r="I72" s="6" t="s">
        <v>444</v>
      </c>
      <c r="J72" s="26" t="s">
        <v>324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4">
      <c r="A73" s="3"/>
      <c r="B73" s="6">
        <v>70</v>
      </c>
      <c r="C73" s="8" t="s">
        <v>436</v>
      </c>
      <c r="D73" s="8" t="s">
        <v>503</v>
      </c>
      <c r="E73" s="8">
        <v>1932075104</v>
      </c>
      <c r="F73" s="33">
        <v>46246</v>
      </c>
      <c r="G73" s="6"/>
      <c r="H73" s="6" t="s">
        <v>19</v>
      </c>
      <c r="I73" s="6" t="s">
        <v>444</v>
      </c>
      <c r="J73" s="26" t="s">
        <v>324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4">
      <c r="A74" s="3"/>
      <c r="B74" s="6">
        <v>71</v>
      </c>
      <c r="C74" s="8" t="s">
        <v>436</v>
      </c>
      <c r="D74" s="8" t="s">
        <v>504</v>
      </c>
      <c r="E74" s="8">
        <v>1987530685</v>
      </c>
      <c r="F74" s="33">
        <v>46246</v>
      </c>
      <c r="G74" s="6"/>
      <c r="H74" s="6" t="s">
        <v>19</v>
      </c>
      <c r="I74" s="6" t="s">
        <v>438</v>
      </c>
      <c r="J74" s="26" t="s">
        <v>324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4">
      <c r="A75" s="3"/>
      <c r="B75" s="6">
        <v>72</v>
      </c>
      <c r="C75" s="8" t="s">
        <v>436</v>
      </c>
      <c r="D75" s="8" t="s">
        <v>505</v>
      </c>
      <c r="E75" s="8">
        <v>1530201710</v>
      </c>
      <c r="F75" s="33">
        <v>46246</v>
      </c>
      <c r="G75" s="6"/>
      <c r="H75" s="6" t="s">
        <v>19</v>
      </c>
      <c r="I75" s="6" t="s">
        <v>438</v>
      </c>
      <c r="J75" s="26" t="s">
        <v>324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4">
      <c r="A76" s="3"/>
      <c r="B76" s="6">
        <v>73</v>
      </c>
      <c r="C76" s="8" t="s">
        <v>436</v>
      </c>
      <c r="D76" s="8" t="s">
        <v>506</v>
      </c>
      <c r="E76" s="8">
        <v>4002408168</v>
      </c>
      <c r="F76" s="33">
        <v>46251</v>
      </c>
      <c r="G76" s="6"/>
      <c r="H76" s="6" t="s">
        <v>19</v>
      </c>
      <c r="I76" s="6" t="s">
        <v>438</v>
      </c>
      <c r="J76" s="26" t="s">
        <v>324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4">
      <c r="A77" s="3"/>
      <c r="B77" s="6">
        <v>74</v>
      </c>
      <c r="C77" s="8" t="s">
        <v>436</v>
      </c>
      <c r="D77" s="8" t="s">
        <v>507</v>
      </c>
      <c r="E77" s="8">
        <v>1375356801</v>
      </c>
      <c r="F77" s="33">
        <v>46251</v>
      </c>
      <c r="G77" s="6"/>
      <c r="H77" s="6" t="s">
        <v>19</v>
      </c>
      <c r="I77" s="6" t="s">
        <v>438</v>
      </c>
      <c r="J77" s="26" t="s">
        <v>324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4">
      <c r="A78" s="3"/>
      <c r="B78" s="6">
        <v>75</v>
      </c>
      <c r="C78" s="8" t="s">
        <v>436</v>
      </c>
      <c r="D78" s="8" t="s">
        <v>508</v>
      </c>
      <c r="E78" s="8">
        <v>1837749620</v>
      </c>
      <c r="F78" s="33">
        <v>46251</v>
      </c>
      <c r="G78" s="6"/>
      <c r="H78" s="6" t="s">
        <v>19</v>
      </c>
      <c r="I78" s="6" t="s">
        <v>444</v>
      </c>
      <c r="J78" s="26" t="s">
        <v>324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4">
      <c r="A79" s="3"/>
      <c r="B79" s="6">
        <v>76</v>
      </c>
      <c r="C79" s="8" t="s">
        <v>436</v>
      </c>
      <c r="D79" s="8" t="s">
        <v>509</v>
      </c>
      <c r="E79" s="8">
        <v>1527936763</v>
      </c>
      <c r="F79" s="33">
        <v>46251</v>
      </c>
      <c r="G79" s="6"/>
      <c r="H79" s="6" t="s">
        <v>19</v>
      </c>
      <c r="I79" s="6" t="s">
        <v>438</v>
      </c>
      <c r="J79" s="26" t="s">
        <v>324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4">
      <c r="A80" s="3"/>
      <c r="B80" s="6">
        <v>77</v>
      </c>
      <c r="C80" s="8" t="s">
        <v>436</v>
      </c>
      <c r="D80" s="8" t="s">
        <v>510</v>
      </c>
      <c r="E80" s="8">
        <v>1808000897</v>
      </c>
      <c r="F80" s="33">
        <v>46261</v>
      </c>
      <c r="G80" s="6"/>
      <c r="H80" s="6" t="s">
        <v>19</v>
      </c>
      <c r="I80" s="6" t="s">
        <v>438</v>
      </c>
      <c r="J80" s="26" t="s">
        <v>324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4">
      <c r="A81" s="3"/>
      <c r="B81" s="6">
        <v>78</v>
      </c>
      <c r="C81" s="8" t="s">
        <v>436</v>
      </c>
      <c r="D81" s="8" t="s">
        <v>511</v>
      </c>
      <c r="E81" s="8">
        <v>1141147257</v>
      </c>
      <c r="F81" s="33">
        <v>46261</v>
      </c>
      <c r="G81" s="6"/>
      <c r="H81" s="6" t="s">
        <v>19</v>
      </c>
      <c r="I81" s="6" t="s">
        <v>438</v>
      </c>
      <c r="J81" s="26" t="s">
        <v>324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4">
      <c r="A82" s="3"/>
      <c r="B82" s="6">
        <v>79</v>
      </c>
      <c r="C82" s="8" t="s">
        <v>436</v>
      </c>
      <c r="D82" s="8" t="s">
        <v>512</v>
      </c>
      <c r="E82" s="8">
        <v>1938569091</v>
      </c>
      <c r="F82" s="33">
        <v>46261</v>
      </c>
      <c r="G82" s="6"/>
      <c r="H82" s="6" t="s">
        <v>19</v>
      </c>
      <c r="I82" s="6" t="s">
        <v>438</v>
      </c>
      <c r="J82" s="26" t="s">
        <v>324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4">
      <c r="A83" s="3"/>
      <c r="B83" s="6">
        <v>80</v>
      </c>
      <c r="C83" s="8" t="s">
        <v>436</v>
      </c>
      <c r="D83" s="8" t="s">
        <v>513</v>
      </c>
      <c r="E83" s="8">
        <v>1726333263</v>
      </c>
      <c r="F83" s="33">
        <v>46261</v>
      </c>
      <c r="G83" s="6"/>
      <c r="H83" s="6" t="s">
        <v>19</v>
      </c>
      <c r="I83" s="6" t="s">
        <v>438</v>
      </c>
      <c r="J83" s="26" t="s">
        <v>324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4">
      <c r="A84" s="3"/>
      <c r="B84" s="6">
        <v>81</v>
      </c>
      <c r="C84" s="8" t="s">
        <v>436</v>
      </c>
      <c r="D84" s="8" t="s">
        <v>514</v>
      </c>
      <c r="E84" s="8">
        <v>1285748851</v>
      </c>
      <c r="F84" s="33">
        <v>46261</v>
      </c>
      <c r="G84" s="6"/>
      <c r="H84" s="6" t="s">
        <v>19</v>
      </c>
      <c r="I84" s="6" t="s">
        <v>444</v>
      </c>
      <c r="J84" s="26" t="s">
        <v>324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4">
      <c r="A85" s="3"/>
      <c r="B85" s="6">
        <v>82</v>
      </c>
      <c r="C85" s="8" t="s">
        <v>436</v>
      </c>
      <c r="D85" s="8" t="s">
        <v>515</v>
      </c>
      <c r="E85" s="8">
        <v>1990394117</v>
      </c>
      <c r="F85" s="33">
        <v>46261</v>
      </c>
      <c r="G85" s="6"/>
      <c r="H85" s="6" t="s">
        <v>19</v>
      </c>
      <c r="I85" s="6" t="s">
        <v>444</v>
      </c>
      <c r="J85" s="26" t="s">
        <v>324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4">
      <c r="A86" s="3"/>
      <c r="B86" s="6">
        <v>83</v>
      </c>
      <c r="C86" s="8" t="s">
        <v>436</v>
      </c>
      <c r="D86" s="8" t="s">
        <v>516</v>
      </c>
      <c r="E86" s="8">
        <v>1737733673</v>
      </c>
      <c r="F86" s="33">
        <v>46261</v>
      </c>
      <c r="G86" s="6"/>
      <c r="H86" s="6" t="s">
        <v>19</v>
      </c>
      <c r="I86" s="6" t="s">
        <v>438</v>
      </c>
      <c r="J86" s="26" t="s">
        <v>324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6">
      <c r="A87" s="3"/>
      <c r="B87" s="6">
        <v>84</v>
      </c>
      <c r="C87" s="8" t="s">
        <v>436</v>
      </c>
      <c r="D87" s="26" t="s">
        <v>517</v>
      </c>
      <c r="E87" s="27">
        <v>1668644900</v>
      </c>
      <c r="F87" s="34">
        <v>46266</v>
      </c>
      <c r="G87" s="14"/>
      <c r="H87" s="14" t="s">
        <v>19</v>
      </c>
      <c r="I87" s="14"/>
      <c r="J87" s="26" t="s">
        <v>324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6">
      <c r="A88" s="3"/>
      <c r="B88" s="6">
        <v>85</v>
      </c>
      <c r="C88" s="8" t="s">
        <v>436</v>
      </c>
      <c r="D88" s="26" t="s">
        <v>518</v>
      </c>
      <c r="E88" s="27">
        <v>1186673833</v>
      </c>
      <c r="F88" s="34">
        <v>46266</v>
      </c>
      <c r="G88" s="14"/>
      <c r="H88" s="14" t="s">
        <v>19</v>
      </c>
      <c r="I88" s="14"/>
      <c r="J88" s="26" t="s">
        <v>324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6">
      <c r="A89" s="3"/>
      <c r="B89" s="6">
        <v>86</v>
      </c>
      <c r="C89" s="8" t="s">
        <v>436</v>
      </c>
      <c r="D89" s="26" t="s">
        <v>519</v>
      </c>
      <c r="E89" s="27">
        <v>1273897653</v>
      </c>
      <c r="F89" s="34">
        <v>46266</v>
      </c>
      <c r="G89" s="14"/>
      <c r="H89" s="14" t="s">
        <v>19</v>
      </c>
      <c r="I89" s="14"/>
      <c r="J89" s="26" t="s">
        <v>324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6">
      <c r="A90" s="3"/>
      <c r="B90" s="6">
        <v>87</v>
      </c>
      <c r="C90" s="8" t="s">
        <v>436</v>
      </c>
      <c r="D90" s="26" t="s">
        <v>520</v>
      </c>
      <c r="E90" s="27">
        <v>1128097368</v>
      </c>
      <c r="F90" s="34">
        <v>46266</v>
      </c>
      <c r="G90" s="14"/>
      <c r="H90" s="14" t="s">
        <v>19</v>
      </c>
      <c r="I90" s="14"/>
      <c r="J90" s="26" t="s">
        <v>324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6">
      <c r="A91" s="3"/>
      <c r="B91" s="6">
        <v>88</v>
      </c>
      <c r="C91" s="8" t="s">
        <v>436</v>
      </c>
      <c r="D91" s="26" t="s">
        <v>521</v>
      </c>
      <c r="E91" s="27">
        <v>1176831301</v>
      </c>
      <c r="F91" s="34">
        <v>46267</v>
      </c>
      <c r="G91" s="14"/>
      <c r="H91" s="14" t="s">
        <v>19</v>
      </c>
      <c r="I91" s="14"/>
      <c r="J91" s="26" t="s">
        <v>324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6">
      <c r="A92" s="3"/>
      <c r="B92" s="6">
        <v>89</v>
      </c>
      <c r="C92" s="8" t="s">
        <v>436</v>
      </c>
      <c r="D92" s="26" t="s">
        <v>522</v>
      </c>
      <c r="E92" s="27">
        <v>1109730268</v>
      </c>
      <c r="F92" s="34">
        <v>46268</v>
      </c>
      <c r="G92" s="14"/>
      <c r="H92" s="14" t="s">
        <v>19</v>
      </c>
      <c r="I92" s="6" t="s">
        <v>438</v>
      </c>
      <c r="J92" s="26" t="s">
        <v>23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6">
      <c r="A93" s="3"/>
      <c r="B93" s="6">
        <v>90</v>
      </c>
      <c r="C93" s="8" t="s">
        <v>436</v>
      </c>
      <c r="D93" s="26" t="s">
        <v>523</v>
      </c>
      <c r="E93" s="27">
        <v>1796374199</v>
      </c>
      <c r="F93" s="34">
        <v>46276</v>
      </c>
      <c r="G93" s="14"/>
      <c r="H93" s="14" t="s">
        <v>19</v>
      </c>
      <c r="I93" s="6" t="s">
        <v>444</v>
      </c>
      <c r="J93" s="26" t="s">
        <v>324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6">
      <c r="A94" s="3"/>
      <c r="B94" s="6">
        <v>91</v>
      </c>
      <c r="C94" s="8" t="s">
        <v>436</v>
      </c>
      <c r="D94" s="26" t="s">
        <v>524</v>
      </c>
      <c r="E94" s="27">
        <v>1567414215</v>
      </c>
      <c r="F94" s="34">
        <v>46276</v>
      </c>
      <c r="G94" s="14"/>
      <c r="H94" s="14" t="s">
        <v>19</v>
      </c>
      <c r="I94" s="14"/>
      <c r="J94" s="26" t="s">
        <v>324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6">
      <c r="A95" s="3"/>
      <c r="B95" s="6">
        <v>92</v>
      </c>
      <c r="C95" s="8" t="s">
        <v>436</v>
      </c>
      <c r="D95" s="26" t="s">
        <v>525</v>
      </c>
      <c r="E95" s="27">
        <v>1753922895</v>
      </c>
      <c r="F95" s="34">
        <v>46280</v>
      </c>
      <c r="G95" s="14"/>
      <c r="H95" s="14" t="s">
        <v>19</v>
      </c>
      <c r="I95" s="14"/>
      <c r="J95" s="26" t="s">
        <v>324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6">
      <c r="A96" s="3"/>
      <c r="B96" s="6">
        <v>93</v>
      </c>
      <c r="C96" s="8" t="s">
        <v>436</v>
      </c>
      <c r="D96" s="26" t="s">
        <v>526</v>
      </c>
      <c r="E96" s="27">
        <v>1242583964</v>
      </c>
      <c r="F96" s="34">
        <v>46280</v>
      </c>
      <c r="G96" s="14"/>
      <c r="H96" s="14" t="s">
        <v>19</v>
      </c>
      <c r="I96" s="6" t="s">
        <v>444</v>
      </c>
      <c r="J96" s="26" t="s">
        <v>324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6">
      <c r="A97" s="3"/>
      <c r="B97" s="6">
        <v>94</v>
      </c>
      <c r="C97" s="8" t="s">
        <v>436</v>
      </c>
      <c r="D97" s="26" t="s">
        <v>527</v>
      </c>
      <c r="E97" s="27">
        <v>1714059911</v>
      </c>
      <c r="F97" s="34">
        <v>46280</v>
      </c>
      <c r="G97" s="14"/>
      <c r="H97" s="14" t="s">
        <v>19</v>
      </c>
      <c r="I97" s="14"/>
      <c r="J97" s="26" t="s">
        <v>324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6">
      <c r="A98" s="3"/>
      <c r="B98" s="6">
        <v>95</v>
      </c>
      <c r="C98" s="8" t="s">
        <v>436</v>
      </c>
      <c r="D98" s="26" t="s">
        <v>528</v>
      </c>
      <c r="E98" s="27">
        <v>1722386015</v>
      </c>
      <c r="F98" s="34">
        <v>46280</v>
      </c>
      <c r="G98" s="14"/>
      <c r="H98" s="14" t="s">
        <v>19</v>
      </c>
      <c r="I98" s="14"/>
      <c r="J98" s="26" t="s">
        <v>324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6">
      <c r="A99" s="3"/>
      <c r="B99" s="6">
        <v>96</v>
      </c>
      <c r="C99" s="8" t="s">
        <v>436</v>
      </c>
      <c r="D99" s="26" t="s">
        <v>529</v>
      </c>
      <c r="E99" s="27">
        <v>1750186689</v>
      </c>
      <c r="F99" s="34">
        <v>46282</v>
      </c>
      <c r="G99" s="14"/>
      <c r="H99" s="14" t="s">
        <v>19</v>
      </c>
      <c r="I99" s="14"/>
      <c r="J99" s="26" t="s">
        <v>324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6">
      <c r="A100" s="3"/>
      <c r="B100" s="6">
        <v>97</v>
      </c>
      <c r="C100" s="8" t="s">
        <v>436</v>
      </c>
      <c r="D100" s="26" t="s">
        <v>530</v>
      </c>
      <c r="E100" s="27">
        <v>1839454215</v>
      </c>
      <c r="F100" s="34">
        <v>46284</v>
      </c>
      <c r="G100" s="14"/>
      <c r="H100" s="14" t="s">
        <v>19</v>
      </c>
      <c r="I100" s="6" t="s">
        <v>438</v>
      </c>
      <c r="J100" s="26" t="s">
        <v>324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6">
      <c r="A101" s="3"/>
      <c r="B101" s="6">
        <v>98</v>
      </c>
      <c r="C101" s="8" t="s">
        <v>436</v>
      </c>
      <c r="D101" s="26" t="s">
        <v>531</v>
      </c>
      <c r="E101" s="27">
        <v>1575445425</v>
      </c>
      <c r="F101" s="34">
        <v>46286</v>
      </c>
      <c r="G101" s="14"/>
      <c r="H101" s="14" t="s">
        <v>19</v>
      </c>
      <c r="I101" s="6" t="s">
        <v>444</v>
      </c>
      <c r="J101" s="26" t="s">
        <v>23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6">
      <c r="A102" s="3"/>
      <c r="B102" s="6">
        <v>99</v>
      </c>
      <c r="C102" s="8" t="s">
        <v>436</v>
      </c>
      <c r="D102" s="26" t="s">
        <v>532</v>
      </c>
      <c r="E102" s="27">
        <v>1198278689</v>
      </c>
      <c r="F102" s="34">
        <v>46286</v>
      </c>
      <c r="G102" s="14"/>
      <c r="H102" s="14" t="s">
        <v>19</v>
      </c>
      <c r="I102" s="6" t="s">
        <v>444</v>
      </c>
      <c r="J102" s="26" t="s">
        <v>23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6">
      <c r="A103" s="3"/>
      <c r="B103" s="6">
        <v>100</v>
      </c>
      <c r="C103" s="8" t="s">
        <v>436</v>
      </c>
      <c r="D103" s="26" t="s">
        <v>533</v>
      </c>
      <c r="E103" s="27">
        <v>1270346341</v>
      </c>
      <c r="F103" s="34">
        <v>46286</v>
      </c>
      <c r="G103" s="14"/>
      <c r="H103" s="14" t="s">
        <v>19</v>
      </c>
      <c r="I103" s="6" t="s">
        <v>444</v>
      </c>
      <c r="J103" s="26" t="s">
        <v>324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6">
      <c r="A104" s="3"/>
      <c r="B104" s="6">
        <v>101</v>
      </c>
      <c r="C104" s="8" t="s">
        <v>436</v>
      </c>
      <c r="D104" s="26" t="s">
        <v>534</v>
      </c>
      <c r="E104" s="27">
        <v>1884869881</v>
      </c>
      <c r="F104" s="34">
        <v>46293</v>
      </c>
      <c r="G104" s="14"/>
      <c r="H104" s="14" t="s">
        <v>19</v>
      </c>
      <c r="I104" s="6" t="s">
        <v>438</v>
      </c>
      <c r="J104" s="26" t="s">
        <v>324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6">
      <c r="A105" s="3"/>
      <c r="B105" s="6">
        <v>102</v>
      </c>
      <c r="C105" s="8" t="s">
        <v>436</v>
      </c>
      <c r="D105" s="26" t="s">
        <v>535</v>
      </c>
      <c r="E105" s="27">
        <v>1901963132</v>
      </c>
      <c r="F105" s="34">
        <v>46293</v>
      </c>
      <c r="G105" s="14"/>
      <c r="H105" s="14" t="s">
        <v>19</v>
      </c>
      <c r="I105" s="6" t="s">
        <v>438</v>
      </c>
      <c r="J105" s="26" t="s">
        <v>324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1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1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1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1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1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1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1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1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1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1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1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1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1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1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1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1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1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1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1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1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1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F2:I2"/>
  </mergeCells>
  <dataValidations count="1">
    <dataValidation type="list" allowBlank="1" showErrorMessage="1" sqref="H4:H126" xr:uid="{00000000-0002-0000-0500-000000000000}">
      <formula1>"B2B,B2C"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7"/>
  <sheetViews>
    <sheetView workbookViewId="0"/>
  </sheetViews>
  <sheetFormatPr defaultColWidth="12.6640625" defaultRowHeight="15.75" customHeight="1"/>
  <cols>
    <col min="3" max="4" width="31.77734375" customWidth="1"/>
    <col min="7" max="7" width="28.33203125" customWidth="1"/>
    <col min="9" max="9" width="15.44140625" customWidth="1"/>
    <col min="10" max="10" width="25.886718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2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2" t="s">
        <v>0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6">
        <v>1</v>
      </c>
      <c r="C4" s="8" t="s">
        <v>318</v>
      </c>
      <c r="D4" s="8" t="s">
        <v>319</v>
      </c>
      <c r="E4" s="21">
        <v>1389789531</v>
      </c>
      <c r="F4" s="22">
        <v>46205</v>
      </c>
      <c r="G4" s="6" t="s">
        <v>320</v>
      </c>
      <c r="H4" s="6" t="s">
        <v>19</v>
      </c>
      <c r="I4" s="6" t="s">
        <v>321</v>
      </c>
      <c r="J4" s="23" t="s">
        <v>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6">
        <v>2</v>
      </c>
      <c r="C5" s="8" t="s">
        <v>318</v>
      </c>
      <c r="D5" s="8" t="s">
        <v>322</v>
      </c>
      <c r="E5" s="21">
        <v>1162813943</v>
      </c>
      <c r="F5" s="22">
        <v>46241</v>
      </c>
      <c r="G5" s="6" t="s">
        <v>323</v>
      </c>
      <c r="H5" s="6" t="s">
        <v>19</v>
      </c>
      <c r="I5" s="6" t="s">
        <v>321</v>
      </c>
      <c r="J5" s="23" t="s">
        <v>324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6">
        <v>3</v>
      </c>
      <c r="C6" s="8" t="s">
        <v>318</v>
      </c>
      <c r="D6" s="8" t="s">
        <v>325</v>
      </c>
      <c r="E6" s="24">
        <v>1300401626</v>
      </c>
      <c r="F6" s="22">
        <v>46216</v>
      </c>
      <c r="G6" s="6" t="s">
        <v>323</v>
      </c>
      <c r="H6" s="6" t="s">
        <v>19</v>
      </c>
      <c r="I6" s="6" t="s">
        <v>321</v>
      </c>
      <c r="J6" s="23" t="s">
        <v>324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6">
        <v>4</v>
      </c>
      <c r="C7" s="8" t="s">
        <v>318</v>
      </c>
      <c r="D7" s="8" t="s">
        <v>326</v>
      </c>
      <c r="E7" s="21">
        <v>1239000513</v>
      </c>
      <c r="F7" s="6" t="s">
        <v>327</v>
      </c>
      <c r="G7" s="6" t="s">
        <v>323</v>
      </c>
      <c r="H7" s="6" t="s">
        <v>19</v>
      </c>
      <c r="I7" s="6" t="s">
        <v>321</v>
      </c>
      <c r="J7" s="23" t="s">
        <v>324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6">
        <v>5</v>
      </c>
      <c r="C8" s="8" t="s">
        <v>318</v>
      </c>
      <c r="D8" s="8" t="s">
        <v>328</v>
      </c>
      <c r="E8" s="25">
        <v>1196273906</v>
      </c>
      <c r="F8" s="6" t="s">
        <v>329</v>
      </c>
      <c r="G8" s="6" t="s">
        <v>323</v>
      </c>
      <c r="H8" s="6" t="s">
        <v>19</v>
      </c>
      <c r="I8" s="6" t="s">
        <v>321</v>
      </c>
      <c r="J8" s="23" t="s">
        <v>324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6">
        <v>6</v>
      </c>
      <c r="C9" s="8" t="s">
        <v>318</v>
      </c>
      <c r="D9" s="8" t="s">
        <v>331</v>
      </c>
      <c r="E9" s="25">
        <v>1693473047</v>
      </c>
      <c r="F9" s="6" t="s">
        <v>332</v>
      </c>
      <c r="G9" s="6" t="s">
        <v>323</v>
      </c>
      <c r="H9" s="6" t="s">
        <v>19</v>
      </c>
      <c r="I9" s="6" t="s">
        <v>333</v>
      </c>
      <c r="J9" s="23" t="s">
        <v>324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6">
        <v>7</v>
      </c>
      <c r="C10" s="8" t="s">
        <v>318</v>
      </c>
      <c r="D10" s="8" t="s">
        <v>335</v>
      </c>
      <c r="E10" s="25">
        <v>1318726462</v>
      </c>
      <c r="F10" s="6" t="s">
        <v>336</v>
      </c>
      <c r="G10" s="6" t="s">
        <v>323</v>
      </c>
      <c r="H10" s="6" t="s">
        <v>19</v>
      </c>
      <c r="I10" s="6" t="s">
        <v>333</v>
      </c>
      <c r="J10" s="23" t="s">
        <v>324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6">
        <v>8</v>
      </c>
      <c r="C11" s="8" t="s">
        <v>318</v>
      </c>
      <c r="D11" s="8" t="s">
        <v>338</v>
      </c>
      <c r="E11" s="21">
        <v>1170048154</v>
      </c>
      <c r="F11" s="22">
        <v>46252</v>
      </c>
      <c r="G11" s="6" t="s">
        <v>320</v>
      </c>
      <c r="H11" s="6" t="s">
        <v>19</v>
      </c>
      <c r="I11" s="6" t="s">
        <v>339</v>
      </c>
      <c r="J11" s="23" t="s">
        <v>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6">
        <v>9</v>
      </c>
      <c r="C12" s="8" t="s">
        <v>318</v>
      </c>
      <c r="D12" s="8" t="s">
        <v>340</v>
      </c>
      <c r="E12" s="25">
        <v>1910649609</v>
      </c>
      <c r="F12" s="6" t="s">
        <v>341</v>
      </c>
      <c r="G12" s="6" t="s">
        <v>320</v>
      </c>
      <c r="H12" s="6" t="s">
        <v>19</v>
      </c>
      <c r="I12" s="6" t="s">
        <v>339</v>
      </c>
      <c r="J12" s="23" t="s">
        <v>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6">
        <v>10</v>
      </c>
      <c r="C13" s="8" t="s">
        <v>318</v>
      </c>
      <c r="D13" s="8" t="s">
        <v>343</v>
      </c>
      <c r="E13" s="21">
        <v>1254769708</v>
      </c>
      <c r="F13" s="6" t="s">
        <v>327</v>
      </c>
      <c r="G13" s="6" t="s">
        <v>344</v>
      </c>
      <c r="H13" s="6" t="s">
        <v>118</v>
      </c>
      <c r="I13" s="6" t="s">
        <v>345</v>
      </c>
      <c r="J13" s="23" t="s">
        <v>324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6">
        <v>11</v>
      </c>
      <c r="C14" s="8" t="s">
        <v>318</v>
      </c>
      <c r="D14" s="8" t="s">
        <v>347</v>
      </c>
      <c r="E14" s="21">
        <v>1241371047</v>
      </c>
      <c r="F14" s="6" t="s">
        <v>348</v>
      </c>
      <c r="G14" s="6" t="s">
        <v>323</v>
      </c>
      <c r="H14" s="6" t="s">
        <v>19</v>
      </c>
      <c r="I14" s="6" t="s">
        <v>345</v>
      </c>
      <c r="J14" s="23" t="s">
        <v>324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6">
        <v>12</v>
      </c>
      <c r="C15" s="8" t="s">
        <v>318</v>
      </c>
      <c r="D15" s="8" t="s">
        <v>350</v>
      </c>
      <c r="E15" s="21">
        <v>1351719501</v>
      </c>
      <c r="F15" s="6" t="s">
        <v>351</v>
      </c>
      <c r="G15" s="6" t="s">
        <v>323</v>
      </c>
      <c r="H15" s="6" t="s">
        <v>118</v>
      </c>
      <c r="I15" s="6" t="s">
        <v>333</v>
      </c>
      <c r="J15" s="23" t="s">
        <v>324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6">
        <v>13</v>
      </c>
      <c r="C16" s="8" t="s">
        <v>318</v>
      </c>
      <c r="D16" s="8" t="s">
        <v>353</v>
      </c>
      <c r="E16" s="25">
        <v>1714557030</v>
      </c>
      <c r="F16" s="6" t="s">
        <v>354</v>
      </c>
      <c r="G16" s="6" t="s">
        <v>323</v>
      </c>
      <c r="H16" s="6" t="s">
        <v>19</v>
      </c>
      <c r="I16" s="6" t="s">
        <v>345</v>
      </c>
      <c r="J16" s="23" t="s">
        <v>324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6">
        <v>14</v>
      </c>
      <c r="C17" s="8" t="s">
        <v>318</v>
      </c>
      <c r="D17" s="8" t="s">
        <v>356</v>
      </c>
      <c r="E17" s="21">
        <v>1604629625</v>
      </c>
      <c r="F17" s="6" t="s">
        <v>273</v>
      </c>
      <c r="G17" s="6" t="s">
        <v>323</v>
      </c>
      <c r="H17" s="6" t="s">
        <v>19</v>
      </c>
      <c r="I17" s="6" t="s">
        <v>345</v>
      </c>
      <c r="J17" s="23" t="s">
        <v>324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6">
        <v>15</v>
      </c>
      <c r="C18" s="8" t="s">
        <v>318</v>
      </c>
      <c r="D18" s="8" t="s">
        <v>360</v>
      </c>
      <c r="E18" s="25">
        <v>1444165342</v>
      </c>
      <c r="F18" s="6" t="s">
        <v>329</v>
      </c>
      <c r="G18" s="6" t="s">
        <v>323</v>
      </c>
      <c r="H18" s="6" t="s">
        <v>19</v>
      </c>
      <c r="I18" s="6" t="s">
        <v>361</v>
      </c>
      <c r="J18" s="23" t="s">
        <v>324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6">
        <v>16</v>
      </c>
      <c r="C19" s="8" t="s">
        <v>318</v>
      </c>
      <c r="D19" s="8" t="s">
        <v>363</v>
      </c>
      <c r="E19" s="25">
        <v>1630516103</v>
      </c>
      <c r="F19" s="6" t="s">
        <v>364</v>
      </c>
      <c r="G19" s="6" t="s">
        <v>323</v>
      </c>
      <c r="H19" s="6" t="s">
        <v>19</v>
      </c>
      <c r="I19" s="6" t="s">
        <v>333</v>
      </c>
      <c r="J19" s="23" t="s">
        <v>324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6">
        <v>17</v>
      </c>
      <c r="C20" s="8" t="s">
        <v>318</v>
      </c>
      <c r="D20" s="8" t="s">
        <v>366</v>
      </c>
      <c r="E20" s="24">
        <v>1908960328</v>
      </c>
      <c r="F20" s="22">
        <v>46241</v>
      </c>
      <c r="G20" s="6" t="s">
        <v>323</v>
      </c>
      <c r="H20" s="6" t="s">
        <v>19</v>
      </c>
      <c r="I20" s="6" t="s">
        <v>361</v>
      </c>
      <c r="J20" s="23" t="s">
        <v>324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6">
        <v>18</v>
      </c>
      <c r="C21" s="8" t="s">
        <v>318</v>
      </c>
      <c r="D21" s="8" t="s">
        <v>367</v>
      </c>
      <c r="E21" s="25">
        <v>1225279034</v>
      </c>
      <c r="F21" s="22">
        <v>46241</v>
      </c>
      <c r="G21" s="6" t="s">
        <v>323</v>
      </c>
      <c r="H21" s="6" t="s">
        <v>19</v>
      </c>
      <c r="I21" s="6" t="s">
        <v>361</v>
      </c>
      <c r="J21" s="23" t="s">
        <v>324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6">
        <v>19</v>
      </c>
      <c r="C22" s="8" t="s">
        <v>318</v>
      </c>
      <c r="D22" s="8" t="s">
        <v>370</v>
      </c>
      <c r="E22" s="25">
        <v>1468276742</v>
      </c>
      <c r="F22" s="29">
        <v>46219</v>
      </c>
      <c r="G22" s="6" t="s">
        <v>323</v>
      </c>
      <c r="H22" s="6" t="s">
        <v>19</v>
      </c>
      <c r="I22" s="6" t="s">
        <v>361</v>
      </c>
      <c r="J22" s="23" t="s">
        <v>324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6">
        <v>20</v>
      </c>
      <c r="C23" s="8" t="s">
        <v>318</v>
      </c>
      <c r="D23" s="10" t="s">
        <v>374</v>
      </c>
      <c r="E23" s="25">
        <v>1000057272</v>
      </c>
      <c r="F23" s="6" t="s">
        <v>327</v>
      </c>
      <c r="G23" s="6" t="s">
        <v>323</v>
      </c>
      <c r="H23" s="6" t="s">
        <v>19</v>
      </c>
      <c r="I23" s="6" t="s">
        <v>333</v>
      </c>
      <c r="J23" s="23" t="s">
        <v>324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6">
        <v>21</v>
      </c>
      <c r="C24" s="8" t="s">
        <v>318</v>
      </c>
      <c r="D24" s="15" t="s">
        <v>376</v>
      </c>
      <c r="E24" s="14">
        <v>1254012899</v>
      </c>
      <c r="F24" s="30">
        <v>46266</v>
      </c>
      <c r="G24" s="6" t="s">
        <v>323</v>
      </c>
      <c r="H24" s="14" t="s">
        <v>19</v>
      </c>
      <c r="I24" s="14" t="s">
        <v>379</v>
      </c>
      <c r="J24" s="3" t="s">
        <v>324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6">
        <v>22</v>
      </c>
      <c r="C25" s="8" t="s">
        <v>318</v>
      </c>
      <c r="D25" s="14"/>
      <c r="E25" s="14"/>
      <c r="F25" s="14"/>
      <c r="G25" s="14"/>
      <c r="H25" s="14"/>
      <c r="I25" s="1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6">
        <v>23</v>
      </c>
      <c r="C26" s="8" t="s">
        <v>318</v>
      </c>
      <c r="D26" s="14"/>
      <c r="E26" s="14"/>
      <c r="F26" s="14"/>
      <c r="G26" s="14"/>
      <c r="H26" s="14"/>
      <c r="I26" s="1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6">
        <v>24</v>
      </c>
      <c r="C27" s="8" t="s">
        <v>318</v>
      </c>
      <c r="D27" s="14"/>
      <c r="E27" s="14"/>
      <c r="F27" s="14"/>
      <c r="G27" s="14"/>
      <c r="H27" s="14"/>
      <c r="I27" s="1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6">
        <v>25</v>
      </c>
      <c r="C28" s="8" t="s">
        <v>318</v>
      </c>
      <c r="D28" s="14"/>
      <c r="E28" s="14"/>
      <c r="F28" s="14"/>
      <c r="G28" s="14"/>
      <c r="H28" s="14"/>
      <c r="I28" s="1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2">
      <c r="A29" s="3"/>
      <c r="B29" s="14"/>
      <c r="C29" s="14"/>
      <c r="D29" s="14"/>
      <c r="E29" s="14"/>
      <c r="F29" s="14"/>
      <c r="G29" s="14"/>
      <c r="H29" s="14"/>
      <c r="I29" s="1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2">
      <c r="A30" s="3"/>
      <c r="B30" s="14"/>
      <c r="C30" s="14"/>
      <c r="D30" s="14"/>
      <c r="E30" s="14"/>
      <c r="F30" s="14"/>
      <c r="G30" s="14"/>
      <c r="H30" s="14"/>
      <c r="I30" s="1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2">
      <c r="A31" s="3"/>
      <c r="B31" s="14"/>
      <c r="C31" s="14"/>
      <c r="D31" s="14"/>
      <c r="E31" s="14"/>
      <c r="F31" s="14"/>
      <c r="G31" s="14"/>
      <c r="H31" s="14"/>
      <c r="I31" s="1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2">
      <c r="A32" s="3"/>
      <c r="B32" s="14"/>
      <c r="C32" s="14"/>
      <c r="D32" s="14"/>
      <c r="E32" s="14"/>
      <c r="F32" s="14"/>
      <c r="G32" s="14"/>
      <c r="H32" s="14"/>
      <c r="I32" s="1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2">
      <c r="A33" s="3"/>
      <c r="B33" s="14"/>
      <c r="C33" s="14"/>
      <c r="D33" s="14"/>
      <c r="E33" s="14"/>
      <c r="F33" s="14"/>
      <c r="G33" s="14"/>
      <c r="H33" s="14"/>
      <c r="I33" s="1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2">
      <c r="A34" s="3"/>
      <c r="B34" s="14"/>
      <c r="C34" s="14"/>
      <c r="D34" s="14"/>
      <c r="E34" s="14"/>
      <c r="F34" s="14"/>
      <c r="G34" s="14"/>
      <c r="H34" s="14"/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2">
      <c r="A35" s="3"/>
      <c r="B35" s="14"/>
      <c r="C35" s="14"/>
      <c r="D35" s="14"/>
      <c r="E35" s="14"/>
      <c r="F35" s="14"/>
      <c r="G35" s="14"/>
      <c r="H35" s="14"/>
      <c r="I35" s="1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2">
      <c r="A36" s="3"/>
      <c r="B36" s="14"/>
      <c r="C36" s="14"/>
      <c r="D36" s="14"/>
      <c r="E36" s="14"/>
      <c r="F36" s="14"/>
      <c r="G36" s="14"/>
      <c r="H36" s="14"/>
      <c r="I36" s="1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2">
      <c r="A37" s="3"/>
      <c r="B37" s="14"/>
      <c r="C37" s="14"/>
      <c r="D37" s="14"/>
      <c r="E37" s="14"/>
      <c r="F37" s="14"/>
      <c r="G37" s="14"/>
      <c r="H37" s="14"/>
      <c r="I37" s="1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2">
      <c r="A38" s="3"/>
      <c r="B38" s="14"/>
      <c r="C38" s="14"/>
      <c r="D38" s="14"/>
      <c r="E38" s="14"/>
      <c r="F38" s="14"/>
      <c r="G38" s="14"/>
      <c r="H38" s="14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2">
      <c r="A39" s="3"/>
      <c r="B39" s="14"/>
      <c r="C39" s="14"/>
      <c r="D39" s="14"/>
      <c r="E39" s="14"/>
      <c r="F39" s="14"/>
      <c r="G39" s="14"/>
      <c r="H39" s="14"/>
      <c r="I39" s="1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2">
      <c r="A40" s="3"/>
      <c r="B40" s="14"/>
      <c r="C40" s="14"/>
      <c r="D40" s="14"/>
      <c r="E40" s="14"/>
      <c r="F40" s="14"/>
      <c r="G40" s="14"/>
      <c r="H40" s="14"/>
      <c r="I40" s="1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2">
      <c r="A41" s="3"/>
      <c r="B41" s="14"/>
      <c r="C41" s="14"/>
      <c r="D41" s="14"/>
      <c r="E41" s="14"/>
      <c r="F41" s="14"/>
      <c r="G41" s="14"/>
      <c r="H41" s="14"/>
      <c r="I41" s="1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2">
      <c r="A42" s="3"/>
      <c r="B42" s="14"/>
      <c r="C42" s="14"/>
      <c r="D42" s="14"/>
      <c r="E42" s="14"/>
      <c r="F42" s="14"/>
      <c r="G42" s="14"/>
      <c r="H42" s="14"/>
      <c r="I42" s="1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2">
      <c r="A43" s="3"/>
      <c r="B43" s="14"/>
      <c r="C43" s="14"/>
      <c r="D43" s="14"/>
      <c r="E43" s="14"/>
      <c r="F43" s="14"/>
      <c r="G43" s="14"/>
      <c r="H43" s="14"/>
      <c r="I43" s="1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2">
      <c r="A44" s="3"/>
      <c r="B44" s="14"/>
      <c r="C44" s="14"/>
      <c r="D44" s="14"/>
      <c r="E44" s="14"/>
      <c r="F44" s="14"/>
      <c r="G44" s="14"/>
      <c r="H44" s="14"/>
      <c r="I44" s="1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2">
      <c r="A45" s="3"/>
      <c r="B45" s="14"/>
      <c r="C45" s="14"/>
      <c r="D45" s="14"/>
      <c r="E45" s="14"/>
      <c r="F45" s="14"/>
      <c r="G45" s="14"/>
      <c r="H45" s="14"/>
      <c r="I45" s="1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2">
      <c r="A46" s="3"/>
      <c r="B46" s="14"/>
      <c r="C46" s="14"/>
      <c r="D46" s="14"/>
      <c r="E46" s="14"/>
      <c r="F46" s="14"/>
      <c r="G46" s="14"/>
      <c r="H46" s="14"/>
      <c r="I46" s="1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2">
      <c r="A47" s="3"/>
      <c r="B47" s="14"/>
      <c r="C47" s="14"/>
      <c r="D47" s="14"/>
      <c r="E47" s="14"/>
      <c r="F47" s="14"/>
      <c r="G47" s="14"/>
      <c r="H47" s="14"/>
      <c r="I47" s="1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2">
      <c r="A48" s="3"/>
      <c r="B48" s="14"/>
      <c r="C48" s="14"/>
      <c r="D48" s="14"/>
      <c r="E48" s="14"/>
      <c r="F48" s="14"/>
      <c r="G48" s="14"/>
      <c r="H48" s="14"/>
      <c r="I48" s="1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2">
      <c r="A49" s="3"/>
      <c r="B49" s="14"/>
      <c r="C49" s="14"/>
      <c r="D49" s="14"/>
      <c r="E49" s="14"/>
      <c r="F49" s="14"/>
      <c r="G49" s="14"/>
      <c r="H49" s="14"/>
      <c r="I49" s="1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2">
      <c r="A50" s="3"/>
      <c r="B50" s="14"/>
      <c r="C50" s="14"/>
      <c r="D50" s="14"/>
      <c r="E50" s="14"/>
      <c r="F50" s="14"/>
      <c r="G50" s="14"/>
      <c r="H50" s="14"/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2">
      <c r="A51" s="3"/>
      <c r="B51" s="14"/>
      <c r="C51" s="14"/>
      <c r="D51" s="14"/>
      <c r="E51" s="14"/>
      <c r="F51" s="14"/>
      <c r="G51" s="14"/>
      <c r="H51" s="14"/>
      <c r="I51" s="1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2">
      <c r="A52" s="3"/>
      <c r="B52" s="14"/>
      <c r="C52" s="14"/>
      <c r="D52" s="14"/>
      <c r="E52" s="14"/>
      <c r="F52" s="14"/>
      <c r="G52" s="14"/>
      <c r="H52" s="14"/>
      <c r="I52" s="1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2">
      <c r="A53" s="3"/>
      <c r="B53" s="14"/>
      <c r="C53" s="14"/>
      <c r="D53" s="14"/>
      <c r="E53" s="14"/>
      <c r="F53" s="14"/>
      <c r="G53" s="14"/>
      <c r="H53" s="14"/>
      <c r="I53" s="1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2">
      <c r="A54" s="3"/>
      <c r="B54" s="14"/>
      <c r="C54" s="14"/>
      <c r="D54" s="14"/>
      <c r="E54" s="14"/>
      <c r="F54" s="14"/>
      <c r="G54" s="14"/>
      <c r="H54" s="14"/>
      <c r="I54" s="1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2">
      <c r="A55" s="3"/>
      <c r="B55" s="14"/>
      <c r="C55" s="14"/>
      <c r="D55" s="14"/>
      <c r="E55" s="14"/>
      <c r="F55" s="14"/>
      <c r="G55" s="14"/>
      <c r="H55" s="14"/>
      <c r="I55" s="1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2">
      <c r="A56" s="3"/>
      <c r="B56" s="14"/>
      <c r="C56" s="14"/>
      <c r="D56" s="14"/>
      <c r="E56" s="14"/>
      <c r="F56" s="14"/>
      <c r="G56" s="14"/>
      <c r="H56" s="14"/>
      <c r="I56" s="1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>
      <c r="A57" s="3"/>
      <c r="B57" s="14"/>
      <c r="C57" s="14"/>
      <c r="D57" s="14"/>
      <c r="E57" s="14"/>
      <c r="F57" s="14"/>
      <c r="G57" s="14"/>
      <c r="H57" s="14"/>
      <c r="I57" s="1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>
      <c r="A58" s="3"/>
      <c r="B58" s="14"/>
      <c r="C58" s="14"/>
      <c r="D58" s="14"/>
      <c r="E58" s="14"/>
      <c r="F58" s="14"/>
      <c r="G58" s="14"/>
      <c r="H58" s="14"/>
      <c r="I58" s="1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>
      <c r="A59" s="3"/>
      <c r="B59" s="14"/>
      <c r="C59" s="14"/>
      <c r="D59" s="14"/>
      <c r="E59" s="14"/>
      <c r="F59" s="14"/>
      <c r="G59" s="14"/>
      <c r="H59" s="14"/>
      <c r="I59" s="1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>
      <c r="A60" s="3"/>
      <c r="B60" s="14"/>
      <c r="C60" s="14"/>
      <c r="D60" s="14"/>
      <c r="E60" s="14"/>
      <c r="F60" s="14"/>
      <c r="G60" s="14"/>
      <c r="H60" s="14"/>
      <c r="I60" s="1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>
      <c r="A61" s="3"/>
      <c r="B61" s="14"/>
      <c r="C61" s="14"/>
      <c r="D61" s="14"/>
      <c r="E61" s="14"/>
      <c r="F61" s="14"/>
      <c r="G61" s="14"/>
      <c r="H61" s="14"/>
      <c r="I61" s="1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>
      <c r="A62" s="3"/>
      <c r="B62" s="14"/>
      <c r="C62" s="14"/>
      <c r="D62" s="14"/>
      <c r="E62" s="14"/>
      <c r="F62" s="14"/>
      <c r="G62" s="14"/>
      <c r="H62" s="14"/>
      <c r="I62" s="1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>
      <c r="A63" s="3"/>
      <c r="B63" s="14"/>
      <c r="C63" s="14"/>
      <c r="D63" s="14"/>
      <c r="E63" s="14"/>
      <c r="F63" s="14"/>
      <c r="G63" s="14"/>
      <c r="H63" s="14"/>
      <c r="I63" s="1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>
      <c r="A64" s="3"/>
      <c r="B64" s="14"/>
      <c r="C64" s="14"/>
      <c r="D64" s="14"/>
      <c r="E64" s="14"/>
      <c r="F64" s="14"/>
      <c r="G64" s="14"/>
      <c r="H64" s="14"/>
      <c r="I64" s="1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>
      <c r="A65" s="3"/>
      <c r="B65" s="14"/>
      <c r="C65" s="14"/>
      <c r="D65" s="14"/>
      <c r="E65" s="14"/>
      <c r="F65" s="14"/>
      <c r="G65" s="14"/>
      <c r="H65" s="14"/>
      <c r="I65" s="1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>
      <c r="A66" s="3"/>
      <c r="B66" s="14"/>
      <c r="C66" s="14"/>
      <c r="D66" s="14"/>
      <c r="E66" s="14"/>
      <c r="F66" s="14"/>
      <c r="G66" s="14"/>
      <c r="H66" s="14"/>
      <c r="I66" s="1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>
      <c r="A67" s="3"/>
      <c r="B67" s="14"/>
      <c r="C67" s="14"/>
      <c r="D67" s="14"/>
      <c r="E67" s="14"/>
      <c r="F67" s="14"/>
      <c r="G67" s="14"/>
      <c r="H67" s="14"/>
      <c r="I67" s="1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>
      <c r="A68" s="3"/>
      <c r="B68" s="14"/>
      <c r="C68" s="14"/>
      <c r="D68" s="14"/>
      <c r="E68" s="14"/>
      <c r="F68" s="14"/>
      <c r="G68" s="14"/>
      <c r="H68" s="14"/>
      <c r="I68" s="1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>
      <c r="A69" s="3"/>
      <c r="B69" s="14"/>
      <c r="C69" s="14"/>
      <c r="D69" s="14"/>
      <c r="E69" s="14"/>
      <c r="F69" s="14"/>
      <c r="G69" s="14"/>
      <c r="H69" s="14"/>
      <c r="I69" s="1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>
      <c r="A70" s="3"/>
      <c r="B70" s="14"/>
      <c r="C70" s="14"/>
      <c r="D70" s="14"/>
      <c r="E70" s="14"/>
      <c r="F70" s="14"/>
      <c r="G70" s="14"/>
      <c r="H70" s="14"/>
      <c r="I70" s="1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>
      <c r="A71" s="3"/>
      <c r="B71" s="14"/>
      <c r="C71" s="14"/>
      <c r="D71" s="14"/>
      <c r="E71" s="14"/>
      <c r="F71" s="14"/>
      <c r="G71" s="14"/>
      <c r="H71" s="14"/>
      <c r="I71" s="1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>
      <c r="A72" s="3"/>
      <c r="B72" s="14"/>
      <c r="C72" s="14"/>
      <c r="D72" s="14"/>
      <c r="E72" s="14"/>
      <c r="F72" s="14"/>
      <c r="G72" s="14"/>
      <c r="H72" s="14"/>
      <c r="I72" s="1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>
      <c r="A73" s="3"/>
      <c r="B73" s="14"/>
      <c r="C73" s="14"/>
      <c r="D73" s="14"/>
      <c r="E73" s="14"/>
      <c r="F73" s="14"/>
      <c r="G73" s="14"/>
      <c r="H73" s="14"/>
      <c r="I73" s="1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>
      <c r="A74" s="3"/>
      <c r="B74" s="14"/>
      <c r="C74" s="14"/>
      <c r="D74" s="14"/>
      <c r="E74" s="14"/>
      <c r="F74" s="14"/>
      <c r="G74" s="14"/>
      <c r="H74" s="14"/>
      <c r="I74" s="1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>
      <c r="A75" s="3"/>
      <c r="B75" s="14"/>
      <c r="C75" s="14"/>
      <c r="D75" s="14"/>
      <c r="E75" s="14"/>
      <c r="F75" s="14"/>
      <c r="G75" s="14"/>
      <c r="H75" s="14"/>
      <c r="I75" s="1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>
      <c r="A76" s="3"/>
      <c r="B76" s="14"/>
      <c r="C76" s="14"/>
      <c r="D76" s="14"/>
      <c r="E76" s="14"/>
      <c r="F76" s="14"/>
      <c r="G76" s="14"/>
      <c r="H76" s="14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>
      <c r="A77" s="3"/>
      <c r="B77" s="14"/>
      <c r="C77" s="14"/>
      <c r="D77" s="14"/>
      <c r="E77" s="14"/>
      <c r="F77" s="14"/>
      <c r="G77" s="14"/>
      <c r="H77" s="14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>
      <c r="A78" s="3"/>
      <c r="B78" s="14"/>
      <c r="C78" s="14"/>
      <c r="D78" s="14"/>
      <c r="E78" s="14"/>
      <c r="F78" s="14"/>
      <c r="G78" s="14"/>
      <c r="H78" s="14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>
      <c r="A79" s="3"/>
      <c r="B79" s="14"/>
      <c r="C79" s="14"/>
      <c r="D79" s="14"/>
      <c r="E79" s="14"/>
      <c r="F79" s="14"/>
      <c r="G79" s="14"/>
      <c r="H79" s="14"/>
      <c r="I79" s="1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>
      <c r="A80" s="3"/>
      <c r="B80" s="14"/>
      <c r="C80" s="14"/>
      <c r="D80" s="14"/>
      <c r="E80" s="14"/>
      <c r="F80" s="14"/>
      <c r="G80" s="14"/>
      <c r="H80" s="14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3"/>
      <c r="B81" s="14"/>
      <c r="C81" s="14"/>
      <c r="D81" s="14"/>
      <c r="E81" s="14"/>
      <c r="F81" s="14"/>
      <c r="G81" s="14"/>
      <c r="H81" s="14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>
      <c r="A82" s="3"/>
      <c r="B82" s="14"/>
      <c r="C82" s="14"/>
      <c r="D82" s="14"/>
      <c r="E82" s="14"/>
      <c r="F82" s="14"/>
      <c r="G82" s="14"/>
      <c r="H82" s="14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3"/>
      <c r="B83" s="14"/>
      <c r="C83" s="14"/>
      <c r="D83" s="14"/>
      <c r="E83" s="14"/>
      <c r="F83" s="14"/>
      <c r="G83" s="14"/>
      <c r="H83" s="14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>
      <c r="A84" s="3"/>
      <c r="B84" s="14"/>
      <c r="C84" s="14"/>
      <c r="D84" s="14"/>
      <c r="E84" s="14"/>
      <c r="F84" s="14"/>
      <c r="G84" s="14"/>
      <c r="H84" s="14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>
      <c r="A85" s="3"/>
      <c r="B85" s="14"/>
      <c r="C85" s="14"/>
      <c r="D85" s="14"/>
      <c r="E85" s="14"/>
      <c r="F85" s="14"/>
      <c r="G85" s="14"/>
      <c r="H85" s="14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>
      <c r="A86" s="3"/>
      <c r="B86" s="14"/>
      <c r="C86" s="14"/>
      <c r="D86" s="14"/>
      <c r="E86" s="14"/>
      <c r="F86" s="14"/>
      <c r="G86" s="14"/>
      <c r="H86" s="14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>
      <c r="A87" s="3"/>
      <c r="B87" s="14"/>
      <c r="C87" s="14"/>
      <c r="D87" s="14"/>
      <c r="E87" s="14"/>
      <c r="F87" s="14"/>
      <c r="G87" s="14"/>
      <c r="H87" s="14"/>
      <c r="I87" s="1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>
      <c r="A88" s="3"/>
      <c r="B88" s="14"/>
      <c r="C88" s="14"/>
      <c r="D88" s="14"/>
      <c r="E88" s="14"/>
      <c r="F88" s="14"/>
      <c r="G88" s="14"/>
      <c r="H88" s="14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>
      <c r="A89" s="3"/>
      <c r="B89" s="14"/>
      <c r="C89" s="14"/>
      <c r="D89" s="14"/>
      <c r="E89" s="14"/>
      <c r="F89" s="14"/>
      <c r="G89" s="14"/>
      <c r="H89" s="14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>
      <c r="A90" s="3"/>
      <c r="B90" s="14"/>
      <c r="C90" s="14"/>
      <c r="D90" s="14"/>
      <c r="E90" s="14"/>
      <c r="F90" s="14"/>
      <c r="G90" s="14"/>
      <c r="H90" s="14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3"/>
      <c r="B91" s="14"/>
      <c r="C91" s="14"/>
      <c r="D91" s="14"/>
      <c r="E91" s="14"/>
      <c r="F91" s="14"/>
      <c r="G91" s="14"/>
      <c r="H91" s="14"/>
      <c r="I91" s="1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>
      <c r="A92" s="3"/>
      <c r="B92" s="14"/>
      <c r="C92" s="14"/>
      <c r="D92" s="14"/>
      <c r="E92" s="14"/>
      <c r="F92" s="14"/>
      <c r="G92" s="14"/>
      <c r="H92" s="14"/>
      <c r="I92" s="1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>
      <c r="A93" s="3"/>
      <c r="B93" s="14"/>
      <c r="C93" s="14"/>
      <c r="D93" s="14"/>
      <c r="E93" s="14"/>
      <c r="F93" s="14"/>
      <c r="G93" s="14"/>
      <c r="H93" s="14"/>
      <c r="I93" s="1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>
      <c r="A94" s="3"/>
      <c r="B94" s="14"/>
      <c r="C94" s="14"/>
      <c r="D94" s="14"/>
      <c r="E94" s="14"/>
      <c r="F94" s="14"/>
      <c r="G94" s="14"/>
      <c r="H94" s="14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>
      <c r="A95" s="3"/>
      <c r="B95" s="14"/>
      <c r="C95" s="14"/>
      <c r="D95" s="14"/>
      <c r="E95" s="14"/>
      <c r="F95" s="14"/>
      <c r="G95" s="14"/>
      <c r="H95" s="14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>
      <c r="A96" s="3"/>
      <c r="B96" s="14"/>
      <c r="C96" s="14"/>
      <c r="D96" s="14"/>
      <c r="E96" s="14"/>
      <c r="F96" s="14"/>
      <c r="G96" s="14"/>
      <c r="H96" s="14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>
      <c r="A97" s="3"/>
      <c r="B97" s="14"/>
      <c r="C97" s="14"/>
      <c r="D97" s="14"/>
      <c r="E97" s="14"/>
      <c r="F97" s="14"/>
      <c r="G97" s="14"/>
      <c r="H97" s="14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1">
    <mergeCell ref="F2:I2"/>
  </mergeCells>
  <dataValidations count="2">
    <dataValidation type="list" allowBlank="1" showErrorMessage="1" sqref="H4" xr:uid="{00000000-0002-0000-0600-000000000000}">
      <formula1>"B2C"</formula1>
    </dataValidation>
    <dataValidation type="list" allowBlank="1" showErrorMessage="1" sqref="H5:H97" xr:uid="{00000000-0002-0000-0600-000001000000}">
      <formula1>"B2B,B2C"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3" max="3" width="7.33203125" customWidth="1"/>
    <col min="4" max="4" width="37.44140625" customWidth="1"/>
    <col min="6" max="6" width="21.6640625" customWidth="1"/>
    <col min="9" max="9" width="26.109375" customWidth="1"/>
    <col min="10" max="10" width="26.218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2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18" t="s">
        <v>0</v>
      </c>
      <c r="C3" s="18" t="s">
        <v>3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6">
        <v>1</v>
      </c>
      <c r="C4" s="26" t="s">
        <v>330</v>
      </c>
      <c r="D4" s="26" t="s">
        <v>334</v>
      </c>
      <c r="E4" s="27">
        <v>1131913090</v>
      </c>
      <c r="F4" s="26" t="s">
        <v>337</v>
      </c>
      <c r="G4" s="14"/>
      <c r="H4" s="14" t="s">
        <v>19</v>
      </c>
      <c r="I4" s="26" t="s">
        <v>342</v>
      </c>
      <c r="J4" s="26" t="s">
        <v>324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6">
        <v>2</v>
      </c>
      <c r="C5" s="26" t="s">
        <v>330</v>
      </c>
      <c r="D5" s="26" t="s">
        <v>346</v>
      </c>
      <c r="E5" s="27">
        <v>1978020115</v>
      </c>
      <c r="F5" s="26" t="s">
        <v>337</v>
      </c>
      <c r="G5" s="14"/>
      <c r="H5" s="14" t="s">
        <v>19</v>
      </c>
      <c r="I5" s="26" t="s">
        <v>342</v>
      </c>
      <c r="J5" s="26" t="s">
        <v>324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6">
        <v>3</v>
      </c>
      <c r="C6" s="26" t="s">
        <v>330</v>
      </c>
      <c r="D6" s="26" t="s">
        <v>349</v>
      </c>
      <c r="E6" s="27">
        <v>1634270893</v>
      </c>
      <c r="F6" s="26" t="s">
        <v>309</v>
      </c>
      <c r="G6" s="14"/>
      <c r="H6" s="14" t="s">
        <v>19</v>
      </c>
      <c r="I6" s="26" t="s">
        <v>352</v>
      </c>
      <c r="J6" s="26" t="s">
        <v>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6">
        <v>4</v>
      </c>
      <c r="C7" s="26" t="s">
        <v>330</v>
      </c>
      <c r="D7" s="26" t="s">
        <v>355</v>
      </c>
      <c r="E7" s="27">
        <v>1549258110</v>
      </c>
      <c r="F7" s="26" t="s">
        <v>309</v>
      </c>
      <c r="G7" s="14"/>
      <c r="H7" s="14" t="s">
        <v>19</v>
      </c>
      <c r="I7" s="26" t="s">
        <v>352</v>
      </c>
      <c r="J7" s="26" t="s">
        <v>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6">
        <v>5</v>
      </c>
      <c r="C8" s="26" t="s">
        <v>330</v>
      </c>
      <c r="D8" s="26" t="s">
        <v>357</v>
      </c>
      <c r="E8" s="27">
        <v>1840236106</v>
      </c>
      <c r="F8" s="26" t="s">
        <v>358</v>
      </c>
      <c r="G8" s="14"/>
      <c r="H8" s="14" t="s">
        <v>19</v>
      </c>
      <c r="I8" s="26" t="s">
        <v>359</v>
      </c>
      <c r="J8" s="26" t="s">
        <v>324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6">
        <v>6</v>
      </c>
      <c r="C9" s="26" t="s">
        <v>330</v>
      </c>
      <c r="D9" s="26" t="s">
        <v>362</v>
      </c>
      <c r="E9" s="27">
        <v>1905833890</v>
      </c>
      <c r="F9" s="26" t="s">
        <v>358</v>
      </c>
      <c r="G9" s="14"/>
      <c r="H9" s="14" t="s">
        <v>19</v>
      </c>
      <c r="I9" s="26" t="s">
        <v>359</v>
      </c>
      <c r="J9" s="26" t="s">
        <v>324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6">
        <v>7</v>
      </c>
      <c r="C10" s="26" t="s">
        <v>330</v>
      </c>
      <c r="D10" s="26" t="s">
        <v>365</v>
      </c>
      <c r="E10" s="27">
        <v>1353715832</v>
      </c>
      <c r="F10" s="26" t="s">
        <v>198</v>
      </c>
      <c r="G10" s="14"/>
      <c r="H10" s="14" t="s">
        <v>19</v>
      </c>
      <c r="I10" s="26" t="s">
        <v>359</v>
      </c>
      <c r="J10" s="26" t="s">
        <v>324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6">
        <v>8</v>
      </c>
      <c r="C11" s="26" t="s">
        <v>330</v>
      </c>
      <c r="D11" s="26" t="s">
        <v>368</v>
      </c>
      <c r="E11" s="27">
        <v>1404019518</v>
      </c>
      <c r="F11" s="26" t="s">
        <v>369</v>
      </c>
      <c r="G11" s="14"/>
      <c r="H11" s="14" t="s">
        <v>19</v>
      </c>
      <c r="I11" s="26" t="s">
        <v>342</v>
      </c>
      <c r="J11" s="26" t="s">
        <v>324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6">
        <v>9</v>
      </c>
      <c r="C12" s="26" t="s">
        <v>330</v>
      </c>
      <c r="D12" s="26" t="s">
        <v>371</v>
      </c>
      <c r="E12" s="27">
        <v>1811627323</v>
      </c>
      <c r="F12" s="26" t="s">
        <v>372</v>
      </c>
      <c r="G12" s="14"/>
      <c r="H12" s="14" t="s">
        <v>19</v>
      </c>
      <c r="I12" s="26" t="s">
        <v>359</v>
      </c>
      <c r="J12" s="26" t="s">
        <v>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6">
        <v>10</v>
      </c>
      <c r="C13" s="26" t="s">
        <v>330</v>
      </c>
      <c r="D13" s="26" t="s">
        <v>373</v>
      </c>
      <c r="E13" s="27">
        <v>1357785958</v>
      </c>
      <c r="F13" s="26" t="s">
        <v>375</v>
      </c>
      <c r="G13" s="14"/>
      <c r="H13" s="14" t="s">
        <v>19</v>
      </c>
      <c r="I13" s="26" t="s">
        <v>359</v>
      </c>
      <c r="J13" s="26" t="s">
        <v>324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6">
        <v>11</v>
      </c>
      <c r="C14" s="26" t="s">
        <v>330</v>
      </c>
      <c r="D14" s="26" t="s">
        <v>377</v>
      </c>
      <c r="E14" s="27">
        <v>1605992803</v>
      </c>
      <c r="F14" s="26" t="s">
        <v>375</v>
      </c>
      <c r="G14" s="14"/>
      <c r="H14" s="14" t="s">
        <v>19</v>
      </c>
      <c r="I14" s="26" t="s">
        <v>359</v>
      </c>
      <c r="J14" s="26" t="s">
        <v>324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6">
        <v>12</v>
      </c>
      <c r="C15" s="26" t="s">
        <v>330</v>
      </c>
      <c r="D15" s="26" t="s">
        <v>378</v>
      </c>
      <c r="E15" s="27">
        <v>1662698556</v>
      </c>
      <c r="F15" s="26" t="s">
        <v>380</v>
      </c>
      <c r="G15" s="14"/>
      <c r="H15" s="14" t="s">
        <v>19</v>
      </c>
      <c r="I15" s="26" t="s">
        <v>342</v>
      </c>
      <c r="J15" s="26" t="s">
        <v>324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6">
        <v>13</v>
      </c>
      <c r="C16" s="26" t="s">
        <v>330</v>
      </c>
      <c r="D16" s="26" t="s">
        <v>381</v>
      </c>
      <c r="E16" s="27">
        <v>1572789347</v>
      </c>
      <c r="F16" s="26" t="s">
        <v>380</v>
      </c>
      <c r="G16" s="14"/>
      <c r="H16" s="14" t="s">
        <v>19</v>
      </c>
      <c r="I16" s="26" t="s">
        <v>359</v>
      </c>
      <c r="J16" s="26" t="s">
        <v>324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6">
        <v>14</v>
      </c>
      <c r="C17" s="26" t="s">
        <v>330</v>
      </c>
      <c r="D17" s="26" t="s">
        <v>382</v>
      </c>
      <c r="E17" s="27">
        <v>1564313812</v>
      </c>
      <c r="F17" s="26" t="s">
        <v>380</v>
      </c>
      <c r="G17" s="14"/>
      <c r="H17" s="14" t="s">
        <v>19</v>
      </c>
      <c r="I17" s="26" t="s">
        <v>359</v>
      </c>
      <c r="J17" s="26" t="s">
        <v>324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6">
        <v>15</v>
      </c>
      <c r="C18" s="26" t="s">
        <v>330</v>
      </c>
      <c r="D18" s="26" t="s">
        <v>383</v>
      </c>
      <c r="E18" s="27">
        <v>1119293702</v>
      </c>
      <c r="F18" s="26" t="s">
        <v>380</v>
      </c>
      <c r="G18" s="14"/>
      <c r="H18" s="14" t="s">
        <v>19</v>
      </c>
      <c r="I18" s="26" t="s">
        <v>359</v>
      </c>
      <c r="J18" s="26" t="s">
        <v>324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6">
        <v>16</v>
      </c>
      <c r="C19" s="26" t="s">
        <v>330</v>
      </c>
      <c r="D19" s="26" t="s">
        <v>384</v>
      </c>
      <c r="E19" s="27">
        <v>1247967052</v>
      </c>
      <c r="F19" s="26" t="s">
        <v>380</v>
      </c>
      <c r="G19" s="14"/>
      <c r="H19" s="14" t="s">
        <v>19</v>
      </c>
      <c r="I19" s="26" t="s">
        <v>359</v>
      </c>
      <c r="J19" s="26" t="s">
        <v>324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6">
        <v>17</v>
      </c>
      <c r="C20" s="26" t="s">
        <v>330</v>
      </c>
      <c r="D20" s="26" t="s">
        <v>385</v>
      </c>
      <c r="E20" s="27">
        <v>1666860902</v>
      </c>
      <c r="F20" s="26" t="s">
        <v>372</v>
      </c>
      <c r="G20" s="14"/>
      <c r="H20" s="14" t="s">
        <v>19</v>
      </c>
      <c r="I20" s="26" t="s">
        <v>359</v>
      </c>
      <c r="J20" s="26" t="s">
        <v>23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6">
        <v>18</v>
      </c>
      <c r="C21" s="26" t="s">
        <v>330</v>
      </c>
      <c r="D21" s="26" t="s">
        <v>371</v>
      </c>
      <c r="E21" s="27">
        <v>1764546610</v>
      </c>
      <c r="F21" s="26" t="s">
        <v>372</v>
      </c>
      <c r="G21" s="14"/>
      <c r="H21" s="14" t="s">
        <v>19</v>
      </c>
      <c r="I21" s="26" t="s">
        <v>359</v>
      </c>
      <c r="J21" s="26" t="s">
        <v>23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6">
        <v>19</v>
      </c>
      <c r="C22" s="26" t="s">
        <v>330</v>
      </c>
      <c r="D22" s="26" t="s">
        <v>386</v>
      </c>
      <c r="E22" s="27">
        <v>1386292535</v>
      </c>
      <c r="F22" s="26" t="s">
        <v>380</v>
      </c>
      <c r="G22" s="14"/>
      <c r="H22" s="14" t="s">
        <v>19</v>
      </c>
      <c r="I22" s="26" t="s">
        <v>359</v>
      </c>
      <c r="J22" s="26" t="s">
        <v>324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6">
        <v>20</v>
      </c>
      <c r="C23" s="26" t="s">
        <v>330</v>
      </c>
      <c r="D23" s="26" t="s">
        <v>371</v>
      </c>
      <c r="E23" s="27">
        <v>1104323081</v>
      </c>
      <c r="F23" s="26" t="s">
        <v>380</v>
      </c>
      <c r="G23" s="14"/>
      <c r="H23" s="14" t="s">
        <v>19</v>
      </c>
      <c r="I23" s="26" t="s">
        <v>359</v>
      </c>
      <c r="J23" s="26" t="s">
        <v>23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6">
        <v>21</v>
      </c>
      <c r="C24" s="26" t="s">
        <v>330</v>
      </c>
      <c r="D24" s="26" t="s">
        <v>387</v>
      </c>
      <c r="E24" s="27">
        <v>1644312867</v>
      </c>
      <c r="F24" s="26" t="s">
        <v>220</v>
      </c>
      <c r="G24" s="14"/>
      <c r="H24" s="14" t="s">
        <v>19</v>
      </c>
      <c r="I24" s="26" t="s">
        <v>359</v>
      </c>
      <c r="J24" s="26" t="s">
        <v>324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6">
        <v>22</v>
      </c>
      <c r="C25" s="26" t="s">
        <v>330</v>
      </c>
      <c r="D25" s="26" t="s">
        <v>388</v>
      </c>
      <c r="E25" s="27">
        <v>1274543288</v>
      </c>
      <c r="F25" s="26" t="s">
        <v>372</v>
      </c>
      <c r="G25" s="14"/>
      <c r="H25" s="14" t="s">
        <v>19</v>
      </c>
      <c r="I25" s="26" t="s">
        <v>359</v>
      </c>
      <c r="J25" s="26" t="s">
        <v>23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6">
        <v>23</v>
      </c>
      <c r="C26" s="26" t="s">
        <v>330</v>
      </c>
      <c r="D26" s="26" t="s">
        <v>389</v>
      </c>
      <c r="E26" s="27">
        <v>1323187462</v>
      </c>
      <c r="F26" s="26" t="s">
        <v>380</v>
      </c>
      <c r="G26" s="14"/>
      <c r="H26" s="14" t="s">
        <v>19</v>
      </c>
      <c r="I26" s="26" t="s">
        <v>359</v>
      </c>
      <c r="J26" s="26" t="s">
        <v>324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6">
        <v>24</v>
      </c>
      <c r="C27" s="26" t="s">
        <v>330</v>
      </c>
      <c r="D27" s="26" t="s">
        <v>390</v>
      </c>
      <c r="E27" s="27">
        <v>1504263241</v>
      </c>
      <c r="F27" s="26" t="s">
        <v>380</v>
      </c>
      <c r="G27" s="14"/>
      <c r="H27" s="14" t="s">
        <v>19</v>
      </c>
      <c r="I27" s="26" t="s">
        <v>359</v>
      </c>
      <c r="J27" s="26" t="s">
        <v>324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6">
        <v>25</v>
      </c>
      <c r="C28" s="26" t="s">
        <v>330</v>
      </c>
      <c r="D28" s="26" t="s">
        <v>391</v>
      </c>
      <c r="E28" s="27">
        <v>1310679589</v>
      </c>
      <c r="F28" s="26" t="s">
        <v>392</v>
      </c>
      <c r="G28" s="14"/>
      <c r="H28" s="14" t="s">
        <v>19</v>
      </c>
      <c r="I28" s="26" t="s">
        <v>359</v>
      </c>
      <c r="J28" s="26" t="s">
        <v>23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4">
      <c r="A29" s="3"/>
      <c r="B29" s="6">
        <v>26</v>
      </c>
      <c r="C29" s="26" t="s">
        <v>330</v>
      </c>
      <c r="D29" s="26" t="s">
        <v>393</v>
      </c>
      <c r="E29" s="27">
        <v>1934552123</v>
      </c>
      <c r="F29" s="26" t="s">
        <v>380</v>
      </c>
      <c r="G29" s="14"/>
      <c r="H29" s="14" t="s">
        <v>19</v>
      </c>
      <c r="I29" s="26" t="s">
        <v>394</v>
      </c>
      <c r="J29" s="26" t="s">
        <v>324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4">
      <c r="A30" s="3"/>
      <c r="B30" s="6">
        <v>27</v>
      </c>
      <c r="C30" s="26" t="s">
        <v>330</v>
      </c>
      <c r="D30" s="26" t="s">
        <v>395</v>
      </c>
      <c r="E30" s="27">
        <v>1241491632</v>
      </c>
      <c r="F30" s="26" t="s">
        <v>245</v>
      </c>
      <c r="G30" s="14"/>
      <c r="H30" s="14" t="s">
        <v>19</v>
      </c>
      <c r="I30" s="26" t="s">
        <v>359</v>
      </c>
      <c r="J30" s="26" t="s">
        <v>324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4">
      <c r="A31" s="3"/>
      <c r="B31" s="6">
        <v>28</v>
      </c>
      <c r="C31" s="26" t="s">
        <v>330</v>
      </c>
      <c r="D31" s="26" t="s">
        <v>371</v>
      </c>
      <c r="E31" s="27">
        <v>1579065171</v>
      </c>
      <c r="F31" s="26" t="s">
        <v>245</v>
      </c>
      <c r="G31" s="14"/>
      <c r="H31" s="14" t="s">
        <v>19</v>
      </c>
      <c r="I31" s="26" t="s">
        <v>396</v>
      </c>
      <c r="J31" s="26" t="s">
        <v>23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4">
      <c r="A32" s="3"/>
      <c r="B32" s="6">
        <v>29</v>
      </c>
      <c r="C32" s="26" t="s">
        <v>330</v>
      </c>
      <c r="D32" s="26" t="s">
        <v>397</v>
      </c>
      <c r="E32" s="27">
        <v>1622054280</v>
      </c>
      <c r="F32" s="26" t="s">
        <v>392</v>
      </c>
      <c r="G32" s="14"/>
      <c r="H32" s="14" t="s">
        <v>19</v>
      </c>
      <c r="I32" s="26" t="s">
        <v>394</v>
      </c>
      <c r="J32" s="26" t="s">
        <v>324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4">
      <c r="A33" s="3"/>
      <c r="B33" s="6">
        <v>30</v>
      </c>
      <c r="C33" s="26" t="s">
        <v>330</v>
      </c>
      <c r="D33" s="26" t="s">
        <v>398</v>
      </c>
      <c r="E33" s="27">
        <v>1153177998</v>
      </c>
      <c r="F33" s="26" t="s">
        <v>208</v>
      </c>
      <c r="G33" s="14"/>
      <c r="H33" s="14" t="s">
        <v>19</v>
      </c>
      <c r="I33" s="26" t="s">
        <v>396</v>
      </c>
      <c r="J33" s="26" t="s">
        <v>23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4">
      <c r="A34" s="3"/>
      <c r="B34" s="6">
        <v>31</v>
      </c>
      <c r="C34" s="26" t="s">
        <v>330</v>
      </c>
      <c r="D34" s="26" t="s">
        <v>399</v>
      </c>
      <c r="E34" s="27">
        <v>1824088519</v>
      </c>
      <c r="F34" s="26" t="s">
        <v>400</v>
      </c>
      <c r="G34" s="14"/>
      <c r="H34" s="14" t="s">
        <v>19</v>
      </c>
      <c r="I34" s="26" t="s">
        <v>396</v>
      </c>
      <c r="J34" s="26" t="s">
        <v>23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4">
      <c r="A35" s="3"/>
      <c r="B35" s="6">
        <v>32</v>
      </c>
      <c r="C35" s="26" t="s">
        <v>330</v>
      </c>
      <c r="D35" s="26" t="s">
        <v>401</v>
      </c>
      <c r="E35" s="27">
        <v>1744255543</v>
      </c>
      <c r="F35" s="26" t="s">
        <v>402</v>
      </c>
      <c r="G35" s="14"/>
      <c r="H35" s="14" t="s">
        <v>19</v>
      </c>
      <c r="I35" s="26" t="s">
        <v>394</v>
      </c>
      <c r="J35" s="26" t="s">
        <v>324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4">
      <c r="A36" s="3"/>
      <c r="B36" s="6">
        <v>33</v>
      </c>
      <c r="C36" s="26" t="s">
        <v>330</v>
      </c>
      <c r="D36" s="26" t="s">
        <v>403</v>
      </c>
      <c r="E36" s="27">
        <v>1665246320</v>
      </c>
      <c r="F36" s="26" t="s">
        <v>404</v>
      </c>
      <c r="G36" s="14"/>
      <c r="H36" s="14" t="s">
        <v>19</v>
      </c>
      <c r="I36" s="26" t="s">
        <v>396</v>
      </c>
      <c r="J36" s="26" t="s">
        <v>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4">
      <c r="A37" s="3"/>
      <c r="B37" s="6">
        <v>34</v>
      </c>
      <c r="C37" s="26" t="s">
        <v>330</v>
      </c>
      <c r="D37" s="26" t="s">
        <v>405</v>
      </c>
      <c r="E37" s="27">
        <v>1236637250</v>
      </c>
      <c r="F37" s="26" t="s">
        <v>404</v>
      </c>
      <c r="G37" s="14"/>
      <c r="H37" s="14" t="s">
        <v>19</v>
      </c>
      <c r="I37" s="26" t="s">
        <v>396</v>
      </c>
      <c r="J37" s="26" t="s">
        <v>324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4">
      <c r="A38" s="3"/>
      <c r="B38" s="6">
        <v>35</v>
      </c>
      <c r="C38" s="26" t="s">
        <v>330</v>
      </c>
      <c r="D38" s="26" t="s">
        <v>406</v>
      </c>
      <c r="E38" s="27">
        <v>1658132637</v>
      </c>
      <c r="F38" s="26" t="s">
        <v>407</v>
      </c>
      <c r="G38" s="14"/>
      <c r="H38" s="14" t="s">
        <v>19</v>
      </c>
      <c r="I38" s="26" t="s">
        <v>396</v>
      </c>
      <c r="J38" s="26" t="s">
        <v>23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4">
      <c r="A39" s="3"/>
      <c r="B39" s="6">
        <v>36</v>
      </c>
      <c r="C39" s="26" t="s">
        <v>330</v>
      </c>
      <c r="D39" s="26" t="s">
        <v>408</v>
      </c>
      <c r="E39" s="27">
        <v>1957351676</v>
      </c>
      <c r="F39" s="26" t="s">
        <v>341</v>
      </c>
      <c r="G39" s="14"/>
      <c r="H39" s="14" t="s">
        <v>19</v>
      </c>
      <c r="I39" s="26" t="s">
        <v>396</v>
      </c>
      <c r="J39" s="26" t="s">
        <v>324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4">
      <c r="A40" s="3"/>
      <c r="B40" s="6">
        <v>37</v>
      </c>
      <c r="C40" s="26" t="s">
        <v>330</v>
      </c>
      <c r="D40" s="26" t="s">
        <v>409</v>
      </c>
      <c r="E40" s="27">
        <v>1645351505</v>
      </c>
      <c r="F40" s="26" t="s">
        <v>410</v>
      </c>
      <c r="G40" s="14"/>
      <c r="H40" s="14" t="s">
        <v>19</v>
      </c>
      <c r="I40" s="26" t="s">
        <v>396</v>
      </c>
      <c r="J40" s="26" t="s">
        <v>324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4">
      <c r="A41" s="3"/>
      <c r="B41" s="6">
        <v>38</v>
      </c>
      <c r="C41" s="26" t="s">
        <v>330</v>
      </c>
      <c r="D41" s="26" t="s">
        <v>411</v>
      </c>
      <c r="E41" s="27">
        <v>1667095070</v>
      </c>
      <c r="F41" s="26" t="s">
        <v>341</v>
      </c>
      <c r="G41" s="14"/>
      <c r="H41" s="14" t="s">
        <v>19</v>
      </c>
      <c r="I41" s="26" t="s">
        <v>394</v>
      </c>
      <c r="J41" s="26" t="s">
        <v>23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4">
      <c r="A42" s="3"/>
      <c r="B42" s="6">
        <v>39</v>
      </c>
      <c r="C42" s="26" t="s">
        <v>330</v>
      </c>
      <c r="D42" s="26" t="s">
        <v>371</v>
      </c>
      <c r="E42" s="27">
        <v>1250665567</v>
      </c>
      <c r="F42" s="26" t="s">
        <v>341</v>
      </c>
      <c r="G42" s="14"/>
      <c r="H42" s="14" t="s">
        <v>19</v>
      </c>
      <c r="I42" s="26" t="s">
        <v>394</v>
      </c>
      <c r="J42" s="26" t="s">
        <v>23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4">
      <c r="A43" s="3"/>
      <c r="B43" s="6">
        <v>40</v>
      </c>
      <c r="C43" s="26" t="s">
        <v>330</v>
      </c>
      <c r="D43" s="26" t="s">
        <v>412</v>
      </c>
      <c r="E43" s="27">
        <v>1287920682</v>
      </c>
      <c r="F43" s="26" t="s">
        <v>413</v>
      </c>
      <c r="G43" s="14"/>
      <c r="H43" s="14" t="s">
        <v>19</v>
      </c>
      <c r="I43" s="26" t="s">
        <v>396</v>
      </c>
      <c r="J43" s="26" t="s">
        <v>324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4">
      <c r="A44" s="3"/>
      <c r="B44" s="6">
        <v>41</v>
      </c>
      <c r="C44" s="26" t="s">
        <v>330</v>
      </c>
      <c r="D44" s="26" t="s">
        <v>414</v>
      </c>
      <c r="E44" s="27">
        <v>1974529084</v>
      </c>
      <c r="F44" s="26" t="s">
        <v>413</v>
      </c>
      <c r="G44" s="14"/>
      <c r="H44" s="14" t="s">
        <v>19</v>
      </c>
      <c r="I44" s="26" t="s">
        <v>396</v>
      </c>
      <c r="J44" s="26" t="s">
        <v>23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4">
      <c r="A45" s="3"/>
      <c r="B45" s="6">
        <v>42</v>
      </c>
      <c r="C45" s="26" t="s">
        <v>330</v>
      </c>
      <c r="D45" s="26" t="s">
        <v>415</v>
      </c>
      <c r="E45" s="27">
        <v>1816193768</v>
      </c>
      <c r="F45" s="26" t="s">
        <v>416</v>
      </c>
      <c r="G45" s="14"/>
      <c r="H45" s="14" t="s">
        <v>19</v>
      </c>
      <c r="I45" s="26" t="s">
        <v>396</v>
      </c>
      <c r="J45" s="26" t="s">
        <v>324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4">
      <c r="A46" s="3"/>
      <c r="B46" s="6">
        <v>43</v>
      </c>
      <c r="C46" s="26" t="s">
        <v>330</v>
      </c>
      <c r="D46" s="26" t="s">
        <v>417</v>
      </c>
      <c r="E46" s="27">
        <v>1700805819</v>
      </c>
      <c r="F46" s="26" t="s">
        <v>416</v>
      </c>
      <c r="G46" s="14"/>
      <c r="H46" s="14" t="s">
        <v>19</v>
      </c>
      <c r="I46" s="26" t="s">
        <v>396</v>
      </c>
      <c r="J46" s="26" t="s">
        <v>324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4">
      <c r="A47" s="3"/>
      <c r="B47" s="6">
        <v>44</v>
      </c>
      <c r="C47" s="26" t="s">
        <v>330</v>
      </c>
      <c r="D47" s="26" t="s">
        <v>418</v>
      </c>
      <c r="E47" s="27">
        <v>1314479396</v>
      </c>
      <c r="F47" s="26" t="s">
        <v>327</v>
      </c>
      <c r="G47" s="14"/>
      <c r="H47" s="14" t="s">
        <v>19</v>
      </c>
      <c r="I47" s="26" t="s">
        <v>396</v>
      </c>
      <c r="J47" s="26" t="s">
        <v>324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4">
      <c r="A48" s="3"/>
      <c r="B48" s="6">
        <v>45</v>
      </c>
      <c r="C48" s="26" t="s">
        <v>330</v>
      </c>
      <c r="D48" s="26" t="s">
        <v>419</v>
      </c>
      <c r="E48" s="27">
        <v>1833097435</v>
      </c>
      <c r="F48" s="26" t="s">
        <v>327</v>
      </c>
      <c r="G48" s="14"/>
      <c r="H48" s="14" t="s">
        <v>19</v>
      </c>
      <c r="I48" s="26" t="s">
        <v>396</v>
      </c>
      <c r="J48" s="26" t="s">
        <v>324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4">
      <c r="A49" s="3"/>
      <c r="B49" s="6">
        <v>46</v>
      </c>
      <c r="C49" s="26" t="s">
        <v>330</v>
      </c>
      <c r="D49" s="26" t="s">
        <v>420</v>
      </c>
      <c r="E49" s="27">
        <v>1114720853</v>
      </c>
      <c r="F49" s="26" t="s">
        <v>327</v>
      </c>
      <c r="G49" s="14"/>
      <c r="H49" s="14" t="s">
        <v>19</v>
      </c>
      <c r="I49" s="26" t="s">
        <v>396</v>
      </c>
      <c r="J49" s="26" t="s">
        <v>324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4">
      <c r="A50" s="3"/>
      <c r="B50" s="6">
        <v>47</v>
      </c>
      <c r="C50" s="26" t="s">
        <v>330</v>
      </c>
      <c r="D50" s="26" t="s">
        <v>421</v>
      </c>
      <c r="E50" s="27">
        <v>1591877337</v>
      </c>
      <c r="F50" s="26" t="s">
        <v>327</v>
      </c>
      <c r="G50" s="14"/>
      <c r="H50" s="14" t="s">
        <v>19</v>
      </c>
      <c r="I50" s="26" t="s">
        <v>396</v>
      </c>
      <c r="J50" s="26" t="s">
        <v>324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4">
      <c r="A51" s="3"/>
      <c r="B51" s="6">
        <v>48</v>
      </c>
      <c r="C51" s="26" t="s">
        <v>330</v>
      </c>
      <c r="D51" s="26" t="s">
        <v>422</v>
      </c>
      <c r="E51" s="27">
        <v>1358532192</v>
      </c>
      <c r="F51" s="26" t="s">
        <v>327</v>
      </c>
      <c r="G51" s="14"/>
      <c r="H51" s="14" t="s">
        <v>19</v>
      </c>
      <c r="I51" s="26" t="s">
        <v>394</v>
      </c>
      <c r="J51" s="26" t="s">
        <v>324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4">
      <c r="A52" s="3"/>
      <c r="B52" s="6">
        <v>49</v>
      </c>
      <c r="C52" s="26" t="s">
        <v>330</v>
      </c>
      <c r="D52" s="26" t="s">
        <v>423</v>
      </c>
      <c r="E52" s="27">
        <v>1472380166</v>
      </c>
      <c r="F52" s="26" t="s">
        <v>424</v>
      </c>
      <c r="G52" s="14"/>
      <c r="H52" s="14" t="s">
        <v>19</v>
      </c>
      <c r="I52" s="26" t="s">
        <v>396</v>
      </c>
      <c r="J52" s="26" t="s">
        <v>324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4">
      <c r="A53" s="3"/>
      <c r="B53" s="6">
        <v>50</v>
      </c>
      <c r="C53" s="26" t="s">
        <v>330</v>
      </c>
      <c r="D53" s="26" t="s">
        <v>425</v>
      </c>
      <c r="E53" s="27">
        <v>1282864813</v>
      </c>
      <c r="F53" s="26" t="s">
        <v>276</v>
      </c>
      <c r="G53" s="14"/>
      <c r="H53" s="14" t="s">
        <v>19</v>
      </c>
      <c r="I53" s="26" t="s">
        <v>396</v>
      </c>
      <c r="J53" s="26" t="s">
        <v>324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4">
      <c r="A54" s="3"/>
      <c r="B54" s="6">
        <v>51</v>
      </c>
      <c r="C54" s="26" t="s">
        <v>330</v>
      </c>
      <c r="D54" s="26" t="s">
        <v>426</v>
      </c>
      <c r="E54" s="27">
        <v>1447969033</v>
      </c>
      <c r="F54" s="26" t="s">
        <v>424</v>
      </c>
      <c r="G54" s="14"/>
      <c r="H54" s="14" t="s">
        <v>19</v>
      </c>
      <c r="I54" s="26" t="s">
        <v>396</v>
      </c>
      <c r="J54" s="26" t="s">
        <v>324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4">
      <c r="A55" s="3"/>
      <c r="B55" s="6">
        <v>52</v>
      </c>
      <c r="C55" s="26" t="s">
        <v>330</v>
      </c>
      <c r="D55" s="26" t="s">
        <v>427</v>
      </c>
      <c r="E55" s="27">
        <v>1157115823</v>
      </c>
      <c r="F55" s="26" t="s">
        <v>327</v>
      </c>
      <c r="G55" s="14"/>
      <c r="H55" s="14" t="s">
        <v>19</v>
      </c>
      <c r="I55" s="26" t="s">
        <v>394</v>
      </c>
      <c r="J55" s="26" t="s">
        <v>324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4">
      <c r="A56" s="3"/>
      <c r="B56" s="6">
        <v>53</v>
      </c>
      <c r="C56" s="26" t="s">
        <v>330</v>
      </c>
      <c r="D56" s="26" t="s">
        <v>428</v>
      </c>
      <c r="E56" s="27">
        <v>1174952604</v>
      </c>
      <c r="F56" s="26" t="s">
        <v>429</v>
      </c>
      <c r="G56" s="14"/>
      <c r="H56" s="14" t="s">
        <v>19</v>
      </c>
      <c r="I56" s="26" t="s">
        <v>396</v>
      </c>
      <c r="J56" s="26" t="s">
        <v>23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4">
      <c r="A57" s="3"/>
      <c r="B57" s="6">
        <v>54</v>
      </c>
      <c r="C57" s="26" t="s">
        <v>330</v>
      </c>
      <c r="D57" s="26" t="s">
        <v>430</v>
      </c>
      <c r="E57" s="27">
        <v>1509947583</v>
      </c>
      <c r="F57" s="26" t="s">
        <v>429</v>
      </c>
      <c r="G57" s="14"/>
      <c r="H57" s="14" t="s">
        <v>19</v>
      </c>
      <c r="I57" s="26" t="s">
        <v>396</v>
      </c>
      <c r="J57" s="26" t="s">
        <v>23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4">
      <c r="A58" s="3"/>
      <c r="B58" s="6">
        <v>55</v>
      </c>
      <c r="C58" s="26" t="s">
        <v>330</v>
      </c>
      <c r="D58" s="26" t="s">
        <v>431</v>
      </c>
      <c r="E58" s="27">
        <v>1294827691</v>
      </c>
      <c r="F58" s="26" t="s">
        <v>432</v>
      </c>
      <c r="G58" s="14"/>
      <c r="H58" s="14" t="s">
        <v>19</v>
      </c>
      <c r="I58" s="26" t="s">
        <v>396</v>
      </c>
      <c r="J58" s="26" t="s">
        <v>23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4">
      <c r="A59" s="3"/>
      <c r="B59" s="14">
        <v>56</v>
      </c>
      <c r="C59" s="14" t="s">
        <v>330</v>
      </c>
      <c r="D59" s="31" t="s">
        <v>433</v>
      </c>
      <c r="E59" s="32">
        <v>1436142823</v>
      </c>
      <c r="F59" s="31" t="s">
        <v>434</v>
      </c>
      <c r="G59" s="14"/>
      <c r="H59" s="14" t="s">
        <v>19</v>
      </c>
      <c r="I59" s="26" t="s">
        <v>435</v>
      </c>
      <c r="J59" s="26" t="s">
        <v>324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>
      <c r="A60" s="3"/>
      <c r="B60" s="14"/>
      <c r="C60" s="14"/>
      <c r="D60" s="14"/>
      <c r="E60" s="14"/>
      <c r="F60" s="14"/>
      <c r="G60" s="14"/>
      <c r="H60" s="14"/>
      <c r="I60" s="1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>
      <c r="A61" s="3"/>
      <c r="B61" s="14"/>
      <c r="C61" s="14"/>
      <c r="D61" s="14"/>
      <c r="E61" s="14"/>
      <c r="F61" s="14"/>
      <c r="G61" s="14"/>
      <c r="H61" s="14"/>
      <c r="I61" s="1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>
      <c r="A62" s="3"/>
      <c r="B62" s="14"/>
      <c r="C62" s="14"/>
      <c r="D62" s="14"/>
      <c r="E62" s="14"/>
      <c r="F62" s="14"/>
      <c r="G62" s="14"/>
      <c r="H62" s="14"/>
      <c r="I62" s="1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>
      <c r="A63" s="3"/>
      <c r="B63" s="14"/>
      <c r="C63" s="14"/>
      <c r="D63" s="14"/>
      <c r="E63" s="14"/>
      <c r="F63" s="14"/>
      <c r="G63" s="14"/>
      <c r="H63" s="14"/>
      <c r="I63" s="1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>
      <c r="A64" s="3"/>
      <c r="B64" s="14"/>
      <c r="C64" s="14"/>
      <c r="D64" s="14"/>
      <c r="E64" s="14"/>
      <c r="F64" s="14"/>
      <c r="G64" s="14"/>
      <c r="H64" s="14"/>
      <c r="I64" s="1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>
      <c r="A65" s="3"/>
      <c r="B65" s="14"/>
      <c r="C65" s="14"/>
      <c r="D65" s="14"/>
      <c r="E65" s="14"/>
      <c r="F65" s="14"/>
      <c r="G65" s="14"/>
      <c r="H65" s="14"/>
      <c r="I65" s="1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>
      <c r="A66" s="3"/>
      <c r="B66" s="14"/>
      <c r="C66" s="14"/>
      <c r="D66" s="14"/>
      <c r="E66" s="14"/>
      <c r="F66" s="14"/>
      <c r="G66" s="14"/>
      <c r="H66" s="14"/>
      <c r="I66" s="1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>
      <c r="A67" s="3"/>
      <c r="B67" s="14"/>
      <c r="C67" s="14"/>
      <c r="D67" s="14"/>
      <c r="E67" s="14"/>
      <c r="F67" s="14"/>
      <c r="G67" s="14"/>
      <c r="H67" s="14"/>
      <c r="I67" s="1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>
      <c r="A68" s="3"/>
      <c r="B68" s="14"/>
      <c r="C68" s="14"/>
      <c r="D68" s="14"/>
      <c r="E68" s="14"/>
      <c r="F68" s="14"/>
      <c r="G68" s="14"/>
      <c r="H68" s="14"/>
      <c r="I68" s="1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>
      <c r="A69" s="3"/>
      <c r="B69" s="14"/>
      <c r="C69" s="14"/>
      <c r="D69" s="14"/>
      <c r="E69" s="14"/>
      <c r="F69" s="14"/>
      <c r="G69" s="14"/>
      <c r="H69" s="14"/>
      <c r="I69" s="1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>
      <c r="A70" s="3"/>
      <c r="B70" s="14"/>
      <c r="C70" s="14"/>
      <c r="D70" s="14"/>
      <c r="E70" s="14"/>
      <c r="F70" s="14"/>
      <c r="G70" s="14"/>
      <c r="H70" s="14"/>
      <c r="I70" s="1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>
      <c r="A71" s="3"/>
      <c r="B71" s="14"/>
      <c r="C71" s="14"/>
      <c r="D71" s="14"/>
      <c r="E71" s="14"/>
      <c r="F71" s="14"/>
      <c r="G71" s="14"/>
      <c r="H71" s="14"/>
      <c r="I71" s="1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>
      <c r="A72" s="3"/>
      <c r="B72" s="14"/>
      <c r="C72" s="14"/>
      <c r="D72" s="14"/>
      <c r="E72" s="14"/>
      <c r="F72" s="14"/>
      <c r="G72" s="14"/>
      <c r="H72" s="14"/>
      <c r="I72" s="1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>
      <c r="A73" s="3"/>
      <c r="B73" s="14"/>
      <c r="C73" s="14"/>
      <c r="D73" s="14"/>
      <c r="E73" s="14"/>
      <c r="F73" s="14"/>
      <c r="G73" s="14"/>
      <c r="H73" s="14"/>
      <c r="I73" s="1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>
      <c r="A74" s="3"/>
      <c r="B74" s="14"/>
      <c r="C74" s="14"/>
      <c r="D74" s="14"/>
      <c r="E74" s="14"/>
      <c r="F74" s="14"/>
      <c r="G74" s="14"/>
      <c r="H74" s="14"/>
      <c r="I74" s="1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>
      <c r="A75" s="3"/>
      <c r="B75" s="14"/>
      <c r="C75" s="14"/>
      <c r="D75" s="14"/>
      <c r="E75" s="14"/>
      <c r="F75" s="14"/>
      <c r="G75" s="14"/>
      <c r="H75" s="14"/>
      <c r="I75" s="1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>
      <c r="A76" s="3"/>
      <c r="B76" s="14"/>
      <c r="C76" s="14"/>
      <c r="D76" s="14"/>
      <c r="E76" s="14"/>
      <c r="F76" s="14"/>
      <c r="G76" s="14"/>
      <c r="H76" s="14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>
      <c r="A77" s="3"/>
      <c r="B77" s="14"/>
      <c r="C77" s="14"/>
      <c r="D77" s="14"/>
      <c r="E77" s="14"/>
      <c r="F77" s="14"/>
      <c r="G77" s="14"/>
      <c r="H77" s="14"/>
      <c r="I77" s="1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>
      <c r="A78" s="3"/>
      <c r="B78" s="14"/>
      <c r="C78" s="14"/>
      <c r="D78" s="14"/>
      <c r="E78" s="14"/>
      <c r="F78" s="14"/>
      <c r="G78" s="14"/>
      <c r="H78" s="14"/>
      <c r="I78" s="1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>
      <c r="A79" s="3"/>
      <c r="B79" s="14"/>
      <c r="C79" s="14"/>
      <c r="D79" s="14"/>
      <c r="E79" s="14"/>
      <c r="F79" s="14"/>
      <c r="G79" s="14"/>
      <c r="H79" s="14"/>
      <c r="I79" s="1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>
      <c r="A80" s="3"/>
      <c r="B80" s="14"/>
      <c r="C80" s="14"/>
      <c r="D80" s="14"/>
      <c r="E80" s="14"/>
      <c r="F80" s="14"/>
      <c r="G80" s="14"/>
      <c r="H80" s="14"/>
      <c r="I80" s="1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3"/>
      <c r="B81" s="14"/>
      <c r="C81" s="14"/>
      <c r="D81" s="14"/>
      <c r="E81" s="14"/>
      <c r="F81" s="14"/>
      <c r="G81" s="14"/>
      <c r="H81" s="14"/>
      <c r="I81" s="1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>
      <c r="A82" s="3"/>
      <c r="B82" s="14"/>
      <c r="C82" s="14"/>
      <c r="D82" s="14"/>
      <c r="E82" s="14"/>
      <c r="F82" s="14"/>
      <c r="G82" s="14"/>
      <c r="H82" s="14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3"/>
      <c r="B83" s="14"/>
      <c r="C83" s="14"/>
      <c r="D83" s="14"/>
      <c r="E83" s="14"/>
      <c r="F83" s="14"/>
      <c r="G83" s="14"/>
      <c r="H83" s="14"/>
      <c r="I83" s="1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>
      <c r="A84" s="3"/>
      <c r="B84" s="14"/>
      <c r="C84" s="14"/>
      <c r="D84" s="14"/>
      <c r="E84" s="14"/>
      <c r="F84" s="14"/>
      <c r="G84" s="14"/>
      <c r="H84" s="14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>
      <c r="A85" s="3"/>
      <c r="B85" s="14"/>
      <c r="C85" s="14"/>
      <c r="D85" s="14"/>
      <c r="E85" s="14"/>
      <c r="F85" s="14"/>
      <c r="G85" s="14"/>
      <c r="H85" s="14"/>
      <c r="I85" s="1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>
      <c r="A86" s="3"/>
      <c r="B86" s="14"/>
      <c r="C86" s="14"/>
      <c r="D86" s="14"/>
      <c r="E86" s="14"/>
      <c r="F86" s="14"/>
      <c r="G86" s="14"/>
      <c r="H86" s="14"/>
      <c r="I86" s="1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>
      <c r="A87" s="3"/>
      <c r="B87" s="14"/>
      <c r="C87" s="14"/>
      <c r="D87" s="14"/>
      <c r="E87" s="14"/>
      <c r="F87" s="14"/>
      <c r="G87" s="14"/>
      <c r="H87" s="14"/>
      <c r="I87" s="1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>
      <c r="A88" s="3"/>
      <c r="B88" s="14"/>
      <c r="C88" s="14"/>
      <c r="D88" s="14"/>
      <c r="E88" s="14"/>
      <c r="F88" s="14"/>
      <c r="G88" s="14"/>
      <c r="H88" s="14"/>
      <c r="I88" s="1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>
      <c r="A89" s="3"/>
      <c r="B89" s="14"/>
      <c r="C89" s="14"/>
      <c r="D89" s="14"/>
      <c r="E89" s="14"/>
      <c r="F89" s="14"/>
      <c r="G89" s="14"/>
      <c r="H89" s="14"/>
      <c r="I89" s="1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>
      <c r="A90" s="3"/>
      <c r="B90" s="14"/>
      <c r="C90" s="14"/>
      <c r="D90" s="14"/>
      <c r="E90" s="14"/>
      <c r="F90" s="14"/>
      <c r="G90" s="14"/>
      <c r="H90" s="14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3"/>
      <c r="B91" s="14"/>
      <c r="C91" s="14"/>
      <c r="D91" s="14"/>
      <c r="E91" s="14"/>
      <c r="F91" s="14"/>
      <c r="G91" s="14"/>
      <c r="H91" s="14"/>
      <c r="I91" s="1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>
      <c r="A92" s="3"/>
      <c r="B92" s="14"/>
      <c r="C92" s="14"/>
      <c r="D92" s="14"/>
      <c r="E92" s="14"/>
      <c r="F92" s="14"/>
      <c r="G92" s="14"/>
      <c r="H92" s="14"/>
      <c r="I92" s="1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>
      <c r="A93" s="3"/>
      <c r="B93" s="14"/>
      <c r="C93" s="14"/>
      <c r="D93" s="14"/>
      <c r="E93" s="14"/>
      <c r="F93" s="14"/>
      <c r="G93" s="14"/>
      <c r="H93" s="14"/>
      <c r="I93" s="1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>
      <c r="A94" s="3"/>
      <c r="B94" s="14"/>
      <c r="C94" s="14"/>
      <c r="D94" s="14"/>
      <c r="E94" s="14"/>
      <c r="F94" s="14"/>
      <c r="G94" s="14"/>
      <c r="H94" s="14"/>
      <c r="I94" s="1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>
      <c r="A95" s="3"/>
      <c r="B95" s="14"/>
      <c r="C95" s="14"/>
      <c r="D95" s="14"/>
      <c r="E95" s="14"/>
      <c r="F95" s="14"/>
      <c r="G95" s="14"/>
      <c r="H95" s="14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>
      <c r="A96" s="3"/>
      <c r="B96" s="14"/>
      <c r="C96" s="14"/>
      <c r="D96" s="14"/>
      <c r="E96" s="14"/>
      <c r="F96" s="14"/>
      <c r="G96" s="14"/>
      <c r="H96" s="14"/>
      <c r="I96" s="1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>
      <c r="A97" s="3"/>
      <c r="B97" s="14"/>
      <c r="C97" s="14"/>
      <c r="D97" s="14"/>
      <c r="E97" s="14"/>
      <c r="F97" s="14"/>
      <c r="G97" s="14"/>
      <c r="H97" s="14"/>
      <c r="I97" s="1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>
      <c r="A98" s="3"/>
      <c r="B98" s="14"/>
      <c r="C98" s="14"/>
      <c r="D98" s="14"/>
      <c r="E98" s="14"/>
      <c r="F98" s="14"/>
      <c r="G98" s="14"/>
      <c r="H98" s="14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>
      <c r="A99" s="3"/>
      <c r="B99" s="14"/>
      <c r="C99" s="14"/>
      <c r="D99" s="14"/>
      <c r="E99" s="14"/>
      <c r="F99" s="14"/>
      <c r="G99" s="14"/>
      <c r="H99" s="14"/>
      <c r="I99" s="1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>
      <c r="A100" s="3"/>
      <c r="B100" s="14"/>
      <c r="C100" s="14"/>
      <c r="D100" s="14"/>
      <c r="E100" s="14"/>
      <c r="F100" s="14"/>
      <c r="G100" s="14"/>
      <c r="H100" s="14"/>
      <c r="I100" s="1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F2:I2"/>
  </mergeCells>
  <dataValidations count="1">
    <dataValidation type="list" allowBlank="1" showErrorMessage="1" sqref="H4:H100" xr:uid="{00000000-0002-0000-0700-000000000000}">
      <formula1>"B2B,B2C"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A995"/>
  <sheetViews>
    <sheetView workbookViewId="0"/>
  </sheetViews>
  <sheetFormatPr defaultColWidth="12.6640625" defaultRowHeight="15.75" customHeight="1"/>
  <cols>
    <col min="2" max="2" width="5.21875" customWidth="1"/>
    <col min="3" max="3" width="7.33203125" customWidth="1"/>
    <col min="4" max="4" width="42.44140625" customWidth="1"/>
    <col min="7" max="7" width="36" customWidth="1"/>
    <col min="9" max="9" width="24.88671875" customWidth="1"/>
    <col min="10" max="10" width="25.88671875" customWidth="1"/>
  </cols>
  <sheetData>
    <row r="1" spans="1:27">
      <c r="A1" s="1"/>
      <c r="B1" s="1"/>
      <c r="C1" s="35"/>
      <c r="D1" s="3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1"/>
      <c r="C2" s="35"/>
      <c r="D2" s="35"/>
      <c r="E2" s="1"/>
      <c r="F2" s="58" t="s">
        <v>2</v>
      </c>
      <c r="G2" s="59"/>
      <c r="H2" s="59"/>
      <c r="I2" s="5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/>
      <c r="B3" s="2" t="s">
        <v>0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5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6">
        <v>1</v>
      </c>
      <c r="C4" s="36" t="s">
        <v>536</v>
      </c>
      <c r="D4" s="36" t="s">
        <v>537</v>
      </c>
      <c r="E4" s="6">
        <v>1841104004</v>
      </c>
      <c r="F4" s="37">
        <v>46111</v>
      </c>
      <c r="G4" s="6" t="s">
        <v>538</v>
      </c>
      <c r="H4" s="6" t="s">
        <v>19</v>
      </c>
      <c r="I4" s="6" t="s">
        <v>539</v>
      </c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6">
        <v>2</v>
      </c>
      <c r="C5" s="36" t="s">
        <v>536</v>
      </c>
      <c r="D5" s="38" t="s">
        <v>540</v>
      </c>
      <c r="E5" s="6">
        <v>1634558796</v>
      </c>
      <c r="F5" s="37">
        <v>46118</v>
      </c>
      <c r="G5" s="6" t="s">
        <v>538</v>
      </c>
      <c r="H5" s="6" t="s">
        <v>19</v>
      </c>
      <c r="I5" s="6" t="s">
        <v>539</v>
      </c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6">
        <v>3</v>
      </c>
      <c r="C6" s="36" t="s">
        <v>536</v>
      </c>
      <c r="D6" s="38" t="s">
        <v>541</v>
      </c>
      <c r="E6" s="6">
        <v>1715418519</v>
      </c>
      <c r="F6" s="37">
        <v>46163</v>
      </c>
      <c r="G6" s="6" t="s">
        <v>542</v>
      </c>
      <c r="H6" s="6" t="s">
        <v>19</v>
      </c>
      <c r="I6" s="6" t="s">
        <v>539</v>
      </c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6">
        <v>4</v>
      </c>
      <c r="C7" s="36" t="s">
        <v>536</v>
      </c>
      <c r="D7" s="38" t="s">
        <v>543</v>
      </c>
      <c r="E7" s="6">
        <v>1413997724</v>
      </c>
      <c r="F7" s="37">
        <v>46163</v>
      </c>
      <c r="G7" s="6" t="s">
        <v>538</v>
      </c>
      <c r="H7" s="6" t="s">
        <v>19</v>
      </c>
      <c r="I7" s="6" t="s">
        <v>539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6">
        <v>5</v>
      </c>
      <c r="C8" s="36" t="s">
        <v>536</v>
      </c>
      <c r="D8" s="38" t="s">
        <v>544</v>
      </c>
      <c r="E8" s="6">
        <v>1932597043</v>
      </c>
      <c r="F8" s="37">
        <v>46168</v>
      </c>
      <c r="G8" s="6" t="s">
        <v>538</v>
      </c>
      <c r="H8" s="6" t="s">
        <v>19</v>
      </c>
      <c r="I8" s="6" t="s">
        <v>539</v>
      </c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6">
        <v>6</v>
      </c>
      <c r="C9" s="36" t="s">
        <v>536</v>
      </c>
      <c r="D9" s="38" t="s">
        <v>545</v>
      </c>
      <c r="E9" s="6">
        <v>1762876916</v>
      </c>
      <c r="F9" s="37">
        <v>46181</v>
      </c>
      <c r="G9" s="6" t="s">
        <v>538</v>
      </c>
      <c r="H9" s="6" t="s">
        <v>19</v>
      </c>
      <c r="I9" s="6" t="s">
        <v>539</v>
      </c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6">
        <v>7</v>
      </c>
      <c r="C10" s="36" t="s">
        <v>536</v>
      </c>
      <c r="D10" s="38" t="s">
        <v>546</v>
      </c>
      <c r="E10" s="6">
        <v>1250783523</v>
      </c>
      <c r="F10" s="37">
        <v>46202</v>
      </c>
      <c r="G10" s="6" t="s">
        <v>538</v>
      </c>
      <c r="H10" s="6" t="s">
        <v>19</v>
      </c>
      <c r="I10" s="6" t="s">
        <v>539</v>
      </c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6">
        <v>8</v>
      </c>
      <c r="C11" s="36" t="s">
        <v>536</v>
      </c>
      <c r="D11" s="38" t="s">
        <v>547</v>
      </c>
      <c r="E11" s="6">
        <v>1100308643</v>
      </c>
      <c r="F11" s="37">
        <v>46233</v>
      </c>
      <c r="G11" s="6" t="s">
        <v>538</v>
      </c>
      <c r="H11" s="6" t="s">
        <v>19</v>
      </c>
      <c r="I11" s="6" t="s">
        <v>539</v>
      </c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6">
        <v>9</v>
      </c>
      <c r="C12" s="36" t="s">
        <v>536</v>
      </c>
      <c r="D12" s="38" t="s">
        <v>548</v>
      </c>
      <c r="E12" s="6">
        <v>1982377158</v>
      </c>
      <c r="F12" s="37">
        <v>46233</v>
      </c>
      <c r="G12" s="6" t="s">
        <v>538</v>
      </c>
      <c r="H12" s="6" t="s">
        <v>19</v>
      </c>
      <c r="I12" s="6" t="s">
        <v>539</v>
      </c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6">
        <v>10</v>
      </c>
      <c r="C13" s="36" t="s">
        <v>536</v>
      </c>
      <c r="D13" s="38" t="s">
        <v>549</v>
      </c>
      <c r="E13" s="6">
        <v>1866594362</v>
      </c>
      <c r="F13" s="37">
        <v>46233</v>
      </c>
      <c r="G13" s="6" t="s">
        <v>538</v>
      </c>
      <c r="H13" s="6" t="s">
        <v>19</v>
      </c>
      <c r="I13" s="6" t="s">
        <v>539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6">
        <v>11</v>
      </c>
      <c r="C14" s="36" t="s">
        <v>536</v>
      </c>
      <c r="D14" s="38" t="s">
        <v>550</v>
      </c>
      <c r="E14" s="6">
        <v>1959590361</v>
      </c>
      <c r="F14" s="37">
        <v>46233</v>
      </c>
      <c r="G14" s="6" t="s">
        <v>538</v>
      </c>
      <c r="H14" s="6" t="s">
        <v>19</v>
      </c>
      <c r="I14" s="6" t="s">
        <v>539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6">
        <v>12</v>
      </c>
      <c r="C15" s="36" t="s">
        <v>536</v>
      </c>
      <c r="D15" s="38" t="s">
        <v>551</v>
      </c>
      <c r="E15" s="6">
        <v>1566212097</v>
      </c>
      <c r="F15" s="7">
        <v>46121</v>
      </c>
      <c r="G15" s="6" t="s">
        <v>552</v>
      </c>
      <c r="H15" s="6" t="s">
        <v>19</v>
      </c>
      <c r="I15" s="6" t="s">
        <v>553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6">
        <v>13</v>
      </c>
      <c r="C16" s="36" t="s">
        <v>536</v>
      </c>
      <c r="D16" s="38" t="s">
        <v>554</v>
      </c>
      <c r="E16" s="6">
        <v>1455493203</v>
      </c>
      <c r="F16" s="7">
        <v>46226</v>
      </c>
      <c r="G16" s="6" t="s">
        <v>555</v>
      </c>
      <c r="H16" s="6" t="s">
        <v>19</v>
      </c>
      <c r="I16" s="6" t="s">
        <v>553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6">
        <v>14</v>
      </c>
      <c r="C17" s="36" t="s">
        <v>536</v>
      </c>
      <c r="D17" s="38" t="s">
        <v>556</v>
      </c>
      <c r="E17" s="6">
        <v>1975305338</v>
      </c>
      <c r="F17" s="7">
        <v>46195</v>
      </c>
      <c r="G17" s="6" t="s">
        <v>552</v>
      </c>
      <c r="H17" s="6" t="s">
        <v>19</v>
      </c>
      <c r="I17" s="6" t="s">
        <v>553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6">
        <v>15</v>
      </c>
      <c r="C18" s="36" t="s">
        <v>536</v>
      </c>
      <c r="D18" s="38" t="s">
        <v>557</v>
      </c>
      <c r="E18" s="6">
        <v>1658287079</v>
      </c>
      <c r="F18" s="7">
        <v>46235</v>
      </c>
      <c r="G18" s="6" t="s">
        <v>558</v>
      </c>
      <c r="H18" s="6" t="s">
        <v>19</v>
      </c>
      <c r="I18" s="6" t="s">
        <v>553</v>
      </c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6">
        <v>16</v>
      </c>
      <c r="C19" s="36" t="s">
        <v>536</v>
      </c>
      <c r="D19" s="38" t="s">
        <v>559</v>
      </c>
      <c r="E19" s="6">
        <v>1461054195</v>
      </c>
      <c r="F19" s="7">
        <v>46214</v>
      </c>
      <c r="G19" s="6" t="s">
        <v>560</v>
      </c>
      <c r="H19" s="6" t="s">
        <v>19</v>
      </c>
      <c r="I19" s="6" t="s">
        <v>553</v>
      </c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6">
        <v>17</v>
      </c>
      <c r="C20" s="36" t="s">
        <v>536</v>
      </c>
      <c r="D20" s="38" t="s">
        <v>561</v>
      </c>
      <c r="E20" s="6">
        <v>1301406580</v>
      </c>
      <c r="F20" s="7">
        <v>46238</v>
      </c>
      <c r="G20" s="6" t="s">
        <v>558</v>
      </c>
      <c r="H20" s="6" t="s">
        <v>19</v>
      </c>
      <c r="I20" s="6" t="s">
        <v>553</v>
      </c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6">
        <v>18</v>
      </c>
      <c r="C21" s="36" t="s">
        <v>536</v>
      </c>
      <c r="D21" s="38" t="s">
        <v>562</v>
      </c>
      <c r="E21" s="6">
        <v>1707143155</v>
      </c>
      <c r="F21" s="7">
        <v>46246</v>
      </c>
      <c r="G21" s="6" t="s">
        <v>560</v>
      </c>
      <c r="H21" s="6" t="s">
        <v>19</v>
      </c>
      <c r="I21" s="6" t="s">
        <v>553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6">
        <v>19</v>
      </c>
      <c r="C22" s="36" t="s">
        <v>536</v>
      </c>
      <c r="D22" s="38" t="s">
        <v>563</v>
      </c>
      <c r="E22" s="6">
        <v>1265194917</v>
      </c>
      <c r="F22" s="7">
        <v>46231</v>
      </c>
      <c r="G22" s="6" t="s">
        <v>560</v>
      </c>
      <c r="H22" s="6" t="s">
        <v>19</v>
      </c>
      <c r="I22" s="6" t="s">
        <v>553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6">
        <v>20</v>
      </c>
      <c r="C23" s="36" t="s">
        <v>536</v>
      </c>
      <c r="D23" s="38" t="s">
        <v>564</v>
      </c>
      <c r="E23" s="6">
        <v>1687351947</v>
      </c>
      <c r="F23" s="7">
        <v>46274</v>
      </c>
      <c r="G23" s="6" t="s">
        <v>555</v>
      </c>
      <c r="H23" s="6" t="s">
        <v>19</v>
      </c>
      <c r="I23" s="6" t="s">
        <v>553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6">
        <v>21</v>
      </c>
      <c r="C24" s="36" t="s">
        <v>536</v>
      </c>
      <c r="D24" s="38" t="s">
        <v>565</v>
      </c>
      <c r="E24" s="6">
        <v>1686958605</v>
      </c>
      <c r="F24" s="7">
        <v>46268</v>
      </c>
      <c r="G24" s="6" t="s">
        <v>566</v>
      </c>
      <c r="H24" s="6" t="s">
        <v>19</v>
      </c>
      <c r="I24" s="6" t="s">
        <v>553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6">
        <v>22</v>
      </c>
      <c r="C25" s="36" t="s">
        <v>536</v>
      </c>
      <c r="D25" s="38" t="s">
        <v>567</v>
      </c>
      <c r="E25" s="6">
        <v>1622855957</v>
      </c>
      <c r="F25" s="7">
        <v>46256</v>
      </c>
      <c r="G25" s="6" t="s">
        <v>568</v>
      </c>
      <c r="H25" s="6" t="s">
        <v>19</v>
      </c>
      <c r="I25" s="6" t="s">
        <v>553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6">
        <v>23</v>
      </c>
      <c r="C26" s="36" t="s">
        <v>536</v>
      </c>
      <c r="D26" s="38" t="s">
        <v>82</v>
      </c>
      <c r="E26" s="6">
        <v>1285666740</v>
      </c>
      <c r="F26" s="7">
        <v>46276</v>
      </c>
      <c r="G26" s="6" t="s">
        <v>569</v>
      </c>
      <c r="H26" s="6" t="s">
        <v>19</v>
      </c>
      <c r="I26" s="6" t="s">
        <v>553</v>
      </c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>
      <c r="A27" s="1"/>
      <c r="B27" s="6">
        <v>24</v>
      </c>
      <c r="C27" s="36" t="s">
        <v>536</v>
      </c>
      <c r="D27" s="38" t="s">
        <v>570</v>
      </c>
      <c r="E27" s="6">
        <v>1319447119</v>
      </c>
      <c r="F27" s="39"/>
      <c r="G27" s="6" t="s">
        <v>571</v>
      </c>
      <c r="H27" s="6" t="s">
        <v>19</v>
      </c>
      <c r="I27" s="6" t="s">
        <v>553</v>
      </c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>
      <c r="A28" s="1"/>
      <c r="B28" s="6">
        <v>25</v>
      </c>
      <c r="C28" s="36" t="s">
        <v>536</v>
      </c>
      <c r="D28" s="38" t="s">
        <v>572</v>
      </c>
      <c r="E28" s="6">
        <v>1371033742</v>
      </c>
      <c r="F28" s="7">
        <v>46239</v>
      </c>
      <c r="G28" s="6" t="s">
        <v>573</v>
      </c>
      <c r="H28" s="6" t="s">
        <v>19</v>
      </c>
      <c r="I28" s="6" t="s">
        <v>553</v>
      </c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>
      <c r="A29" s="1"/>
      <c r="B29" s="6">
        <v>26</v>
      </c>
      <c r="C29" s="36" t="s">
        <v>536</v>
      </c>
      <c r="D29" s="38" t="s">
        <v>574</v>
      </c>
      <c r="E29" s="6">
        <v>1435967697</v>
      </c>
      <c r="F29" s="7">
        <v>46247</v>
      </c>
      <c r="G29" s="6" t="s">
        <v>573</v>
      </c>
      <c r="H29" s="6" t="s">
        <v>19</v>
      </c>
      <c r="I29" s="6" t="s">
        <v>553</v>
      </c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>
      <c r="A30" s="1"/>
      <c r="B30" s="6">
        <v>27</v>
      </c>
      <c r="C30" s="36" t="s">
        <v>536</v>
      </c>
      <c r="D30" s="38" t="s">
        <v>575</v>
      </c>
      <c r="E30" s="6">
        <v>1332607573</v>
      </c>
      <c r="F30" s="7">
        <v>46281</v>
      </c>
      <c r="G30" s="6" t="s">
        <v>573</v>
      </c>
      <c r="H30" s="6" t="s">
        <v>19</v>
      </c>
      <c r="I30" s="6" t="s">
        <v>553</v>
      </c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>
      <c r="A31" s="1"/>
      <c r="B31" s="6">
        <v>28</v>
      </c>
      <c r="C31" s="36" t="s">
        <v>536</v>
      </c>
      <c r="D31" s="38" t="s">
        <v>576</v>
      </c>
      <c r="E31" s="6">
        <v>1478845372</v>
      </c>
      <c r="F31" s="7">
        <v>46256</v>
      </c>
      <c r="G31" s="6" t="s">
        <v>573</v>
      </c>
      <c r="H31" s="6" t="s">
        <v>19</v>
      </c>
      <c r="I31" s="6" t="s">
        <v>553</v>
      </c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>
      <c r="A32" s="1"/>
      <c r="B32" s="6">
        <v>29</v>
      </c>
      <c r="C32" s="36" t="s">
        <v>536</v>
      </c>
      <c r="D32" s="38" t="s">
        <v>577</v>
      </c>
      <c r="E32" s="6">
        <v>1376577863</v>
      </c>
      <c r="F32" s="6" t="s">
        <v>578</v>
      </c>
      <c r="G32" s="6" t="s">
        <v>579</v>
      </c>
      <c r="H32" s="6" t="s">
        <v>19</v>
      </c>
      <c r="I32" s="6" t="s">
        <v>580</v>
      </c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>
      <c r="A33" s="1"/>
      <c r="B33" s="6">
        <v>30</v>
      </c>
      <c r="C33" s="36" t="s">
        <v>536</v>
      </c>
      <c r="D33" s="38" t="s">
        <v>581</v>
      </c>
      <c r="E33" s="6">
        <v>1676139920</v>
      </c>
      <c r="F33" s="6" t="s">
        <v>582</v>
      </c>
      <c r="G33" s="6" t="s">
        <v>579</v>
      </c>
      <c r="H33" s="6" t="s">
        <v>19</v>
      </c>
      <c r="I33" s="6" t="s">
        <v>580</v>
      </c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>
      <c r="A34" s="1"/>
      <c r="B34" s="6">
        <v>31</v>
      </c>
      <c r="C34" s="36" t="s">
        <v>536</v>
      </c>
      <c r="D34" s="38" t="s">
        <v>583</v>
      </c>
      <c r="E34" s="6">
        <v>1659474901</v>
      </c>
      <c r="F34" s="6" t="s">
        <v>584</v>
      </c>
      <c r="G34" s="6" t="s">
        <v>23</v>
      </c>
      <c r="H34" s="6" t="s">
        <v>19</v>
      </c>
      <c r="I34" s="6" t="s">
        <v>580</v>
      </c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>
      <c r="A35" s="1"/>
      <c r="B35" s="6">
        <v>32</v>
      </c>
      <c r="C35" s="36" t="s">
        <v>536</v>
      </c>
      <c r="D35" s="38" t="s">
        <v>585</v>
      </c>
      <c r="E35" s="6">
        <v>1641489596</v>
      </c>
      <c r="F35" s="6" t="s">
        <v>586</v>
      </c>
      <c r="G35" s="6" t="s">
        <v>579</v>
      </c>
      <c r="H35" s="6" t="s">
        <v>19</v>
      </c>
      <c r="I35" s="6" t="s">
        <v>580</v>
      </c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>
      <c r="A36" s="1"/>
      <c r="B36" s="6">
        <v>33</v>
      </c>
      <c r="C36" s="36" t="s">
        <v>536</v>
      </c>
      <c r="D36" s="38" t="s">
        <v>587</v>
      </c>
      <c r="E36" s="6">
        <v>1489575716</v>
      </c>
      <c r="F36" s="6" t="s">
        <v>588</v>
      </c>
      <c r="G36" s="6" t="s">
        <v>23</v>
      </c>
      <c r="H36" s="6" t="s">
        <v>19</v>
      </c>
      <c r="I36" s="6" t="s">
        <v>580</v>
      </c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>
      <c r="A37" s="1"/>
      <c r="B37" s="6">
        <v>34</v>
      </c>
      <c r="C37" s="36" t="s">
        <v>536</v>
      </c>
      <c r="D37" s="38" t="s">
        <v>589</v>
      </c>
      <c r="E37" s="6">
        <v>1351269580</v>
      </c>
      <c r="F37" s="6" t="s">
        <v>590</v>
      </c>
      <c r="G37" s="6" t="s">
        <v>579</v>
      </c>
      <c r="H37" s="6" t="s">
        <v>19</v>
      </c>
      <c r="I37" s="6" t="s">
        <v>580</v>
      </c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4">
      <c r="A38" s="1"/>
      <c r="B38" s="6">
        <v>35</v>
      </c>
      <c r="C38" s="36" t="s">
        <v>536</v>
      </c>
      <c r="D38" s="8" t="s">
        <v>591</v>
      </c>
      <c r="E38" s="27">
        <v>1142829004</v>
      </c>
      <c r="F38" s="40">
        <v>46134</v>
      </c>
      <c r="G38" s="6" t="s">
        <v>579</v>
      </c>
      <c r="H38" s="6" t="s">
        <v>19</v>
      </c>
      <c r="I38" s="6" t="s">
        <v>592</v>
      </c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4">
      <c r="A39" s="1"/>
      <c r="B39" s="6">
        <v>36</v>
      </c>
      <c r="C39" s="36" t="s">
        <v>536</v>
      </c>
      <c r="D39" s="8" t="s">
        <v>593</v>
      </c>
      <c r="E39" s="27">
        <v>1186471925</v>
      </c>
      <c r="F39" s="40">
        <v>46133</v>
      </c>
      <c r="G39" s="6" t="s">
        <v>579</v>
      </c>
      <c r="H39" s="6" t="s">
        <v>19</v>
      </c>
      <c r="I39" s="6" t="s">
        <v>592</v>
      </c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/>
      <c r="B40" s="6">
        <v>37</v>
      </c>
      <c r="C40" s="36" t="s">
        <v>536</v>
      </c>
      <c r="D40" s="8" t="s">
        <v>594</v>
      </c>
      <c r="E40" s="27">
        <v>1966278010</v>
      </c>
      <c r="F40" s="40">
        <v>46127</v>
      </c>
      <c r="G40" s="6" t="s">
        <v>579</v>
      </c>
      <c r="H40" s="6" t="s">
        <v>19</v>
      </c>
      <c r="I40" s="6" t="s">
        <v>592</v>
      </c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4">
      <c r="A41" s="1"/>
      <c r="B41" s="6">
        <v>38</v>
      </c>
      <c r="C41" s="36" t="s">
        <v>536</v>
      </c>
      <c r="D41" s="8" t="s">
        <v>595</v>
      </c>
      <c r="E41" s="27">
        <v>1869951677</v>
      </c>
      <c r="F41" s="40">
        <v>46125</v>
      </c>
      <c r="G41" s="6" t="s">
        <v>579</v>
      </c>
      <c r="H41" s="6" t="s">
        <v>19</v>
      </c>
      <c r="I41" s="6" t="s">
        <v>592</v>
      </c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4">
      <c r="A42" s="1"/>
      <c r="B42" s="6">
        <v>39</v>
      </c>
      <c r="C42" s="36" t="s">
        <v>536</v>
      </c>
      <c r="D42" s="8" t="s">
        <v>596</v>
      </c>
      <c r="E42" s="27">
        <v>1132441153</v>
      </c>
      <c r="F42" s="40">
        <v>46123</v>
      </c>
      <c r="G42" s="6" t="s">
        <v>579</v>
      </c>
      <c r="H42" s="6" t="s">
        <v>19</v>
      </c>
      <c r="I42" s="6" t="s">
        <v>592</v>
      </c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4">
      <c r="A43" s="1"/>
      <c r="B43" s="6">
        <v>40</v>
      </c>
      <c r="C43" s="36" t="s">
        <v>536</v>
      </c>
      <c r="D43" s="8" t="s">
        <v>597</v>
      </c>
      <c r="E43" s="27">
        <v>1307425262</v>
      </c>
      <c r="F43" s="40">
        <v>46122</v>
      </c>
      <c r="G43" s="6" t="s">
        <v>579</v>
      </c>
      <c r="H43" s="6" t="s">
        <v>19</v>
      </c>
      <c r="I43" s="6" t="s">
        <v>592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4">
      <c r="A44" s="1"/>
      <c r="B44" s="6">
        <v>41</v>
      </c>
      <c r="C44" s="36" t="s">
        <v>536</v>
      </c>
      <c r="D44" s="8" t="s">
        <v>598</v>
      </c>
      <c r="E44" s="27">
        <v>1663820107</v>
      </c>
      <c r="F44" s="40">
        <v>46121</v>
      </c>
      <c r="G44" s="6" t="s">
        <v>579</v>
      </c>
      <c r="H44" s="6" t="s">
        <v>19</v>
      </c>
      <c r="I44" s="6" t="s">
        <v>592</v>
      </c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4">
      <c r="A45" s="1"/>
      <c r="B45" s="6">
        <v>42</v>
      </c>
      <c r="C45" s="36" t="s">
        <v>536</v>
      </c>
      <c r="D45" s="8" t="s">
        <v>599</v>
      </c>
      <c r="E45" s="27">
        <v>1988426117</v>
      </c>
      <c r="F45" s="40">
        <v>46114</v>
      </c>
      <c r="G45" s="6" t="s">
        <v>579</v>
      </c>
      <c r="H45" s="6" t="s">
        <v>19</v>
      </c>
      <c r="I45" s="6" t="s">
        <v>592</v>
      </c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4">
      <c r="A46" s="1"/>
      <c r="B46" s="6">
        <v>43</v>
      </c>
      <c r="C46" s="36" t="s">
        <v>536</v>
      </c>
      <c r="D46" s="41" t="s">
        <v>600</v>
      </c>
      <c r="E46" s="41">
        <v>1623792749</v>
      </c>
      <c r="F46" s="42">
        <v>46156</v>
      </c>
      <c r="G46" s="6" t="s">
        <v>579</v>
      </c>
      <c r="H46" s="6" t="s">
        <v>19</v>
      </c>
      <c r="I46" s="6" t="s">
        <v>592</v>
      </c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4">
      <c r="A47" s="1"/>
      <c r="B47" s="6">
        <v>44</v>
      </c>
      <c r="C47" s="36" t="s">
        <v>536</v>
      </c>
      <c r="D47" s="43" t="s">
        <v>601</v>
      </c>
      <c r="E47" s="43">
        <v>1391029143</v>
      </c>
      <c r="F47" s="44">
        <v>46191</v>
      </c>
      <c r="G47" s="6" t="s">
        <v>579</v>
      </c>
      <c r="H47" s="6" t="s">
        <v>19</v>
      </c>
      <c r="I47" s="6" t="s">
        <v>592</v>
      </c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4">
      <c r="A48" s="1"/>
      <c r="B48" s="6">
        <v>45</v>
      </c>
      <c r="C48" s="36" t="s">
        <v>536</v>
      </c>
      <c r="D48" s="8" t="s">
        <v>602</v>
      </c>
      <c r="E48" s="8">
        <v>1383939345</v>
      </c>
      <c r="F48" s="9">
        <v>46232</v>
      </c>
      <c r="G48" s="6" t="s">
        <v>579</v>
      </c>
      <c r="H48" s="6" t="s">
        <v>19</v>
      </c>
      <c r="I48" s="6" t="s">
        <v>592</v>
      </c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4">
      <c r="A49" s="1"/>
      <c r="B49" s="6">
        <v>46</v>
      </c>
      <c r="C49" s="36" t="s">
        <v>536</v>
      </c>
      <c r="D49" s="8" t="s">
        <v>603</v>
      </c>
      <c r="E49" s="8">
        <v>1162813223</v>
      </c>
      <c r="F49" s="9">
        <v>46230</v>
      </c>
      <c r="G49" s="6" t="s">
        <v>579</v>
      </c>
      <c r="H49" s="6" t="s">
        <v>19</v>
      </c>
      <c r="I49" s="6" t="s">
        <v>592</v>
      </c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4">
      <c r="A50" s="1"/>
      <c r="B50" s="6">
        <v>47</v>
      </c>
      <c r="C50" s="36" t="s">
        <v>536</v>
      </c>
      <c r="D50" s="8" t="s">
        <v>604</v>
      </c>
      <c r="E50" s="8">
        <v>1899199860</v>
      </c>
      <c r="F50" s="9">
        <v>46230</v>
      </c>
      <c r="G50" s="6" t="s">
        <v>579</v>
      </c>
      <c r="H50" s="6" t="s">
        <v>19</v>
      </c>
      <c r="I50" s="6" t="s">
        <v>592</v>
      </c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4">
      <c r="A51" s="1"/>
      <c r="B51" s="6">
        <v>48</v>
      </c>
      <c r="C51" s="36" t="s">
        <v>536</v>
      </c>
      <c r="D51" s="8" t="s">
        <v>605</v>
      </c>
      <c r="E51" s="8">
        <v>1867127690</v>
      </c>
      <c r="F51" s="9">
        <v>46227</v>
      </c>
      <c r="G51" s="6" t="s">
        <v>579</v>
      </c>
      <c r="H51" s="6" t="s">
        <v>19</v>
      </c>
      <c r="I51" s="6" t="s">
        <v>592</v>
      </c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4">
      <c r="A52" s="1"/>
      <c r="B52" s="6">
        <v>49</v>
      </c>
      <c r="C52" s="36" t="s">
        <v>536</v>
      </c>
      <c r="D52" s="8" t="s">
        <v>606</v>
      </c>
      <c r="E52" s="8">
        <v>1708800018</v>
      </c>
      <c r="F52" s="9">
        <v>46227</v>
      </c>
      <c r="G52" s="6" t="s">
        <v>579</v>
      </c>
      <c r="H52" s="6" t="s">
        <v>19</v>
      </c>
      <c r="I52" s="6" t="s">
        <v>592</v>
      </c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4">
      <c r="A53" s="1"/>
      <c r="B53" s="6">
        <v>50</v>
      </c>
      <c r="C53" s="36" t="s">
        <v>536</v>
      </c>
      <c r="D53" s="8" t="s">
        <v>607</v>
      </c>
      <c r="E53" s="8">
        <v>1335749271</v>
      </c>
      <c r="F53" s="9">
        <v>46227</v>
      </c>
      <c r="G53" s="6" t="s">
        <v>579</v>
      </c>
      <c r="H53" s="6" t="s">
        <v>19</v>
      </c>
      <c r="I53" s="6" t="s">
        <v>592</v>
      </c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4">
      <c r="A54" s="1"/>
      <c r="B54" s="6">
        <v>51</v>
      </c>
      <c r="C54" s="36" t="s">
        <v>536</v>
      </c>
      <c r="D54" s="8" t="s">
        <v>608</v>
      </c>
      <c r="E54" s="8">
        <v>1460633025</v>
      </c>
      <c r="F54" s="9">
        <v>46220</v>
      </c>
      <c r="G54" s="6" t="s">
        <v>579</v>
      </c>
      <c r="H54" s="6" t="s">
        <v>19</v>
      </c>
      <c r="I54" s="6" t="s">
        <v>592</v>
      </c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4">
      <c r="A55" s="1"/>
      <c r="B55" s="6">
        <v>52</v>
      </c>
      <c r="C55" s="36" t="s">
        <v>536</v>
      </c>
      <c r="D55" s="8" t="s">
        <v>609</v>
      </c>
      <c r="E55" s="8">
        <v>1667662551</v>
      </c>
      <c r="F55" s="9">
        <v>46210</v>
      </c>
      <c r="G55" s="6" t="s">
        <v>579</v>
      </c>
      <c r="H55" s="6" t="s">
        <v>19</v>
      </c>
      <c r="I55" s="6" t="s">
        <v>592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4">
      <c r="A56" s="1"/>
      <c r="B56" s="6">
        <v>53</v>
      </c>
      <c r="C56" s="36" t="s">
        <v>536</v>
      </c>
      <c r="D56" s="8" t="s">
        <v>610</v>
      </c>
      <c r="E56" s="8">
        <v>1508151735</v>
      </c>
      <c r="F56" s="9">
        <v>46205</v>
      </c>
      <c r="G56" s="6" t="s">
        <v>579</v>
      </c>
      <c r="H56" s="6" t="s">
        <v>19</v>
      </c>
      <c r="I56" s="6" t="s">
        <v>592</v>
      </c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6">
        <v>54</v>
      </c>
      <c r="C57" s="36" t="s">
        <v>536</v>
      </c>
      <c r="D57" s="45" t="s">
        <v>611</v>
      </c>
      <c r="E57" s="45">
        <v>1573199310</v>
      </c>
      <c r="F57" s="46">
        <v>46237</v>
      </c>
      <c r="G57" s="6" t="s">
        <v>579</v>
      </c>
      <c r="H57" s="6" t="s">
        <v>19</v>
      </c>
      <c r="I57" s="6" t="s">
        <v>592</v>
      </c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6">
        <v>55</v>
      </c>
      <c r="C58" s="36" t="s">
        <v>536</v>
      </c>
      <c r="D58" s="47" t="s">
        <v>612</v>
      </c>
      <c r="E58" s="47">
        <v>1879331665</v>
      </c>
      <c r="F58" s="48">
        <v>46258</v>
      </c>
      <c r="G58" s="6" t="s">
        <v>579</v>
      </c>
      <c r="H58" s="6" t="s">
        <v>19</v>
      </c>
      <c r="I58" s="6" t="s">
        <v>592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6">
        <v>56</v>
      </c>
      <c r="C59" s="36" t="s">
        <v>536</v>
      </c>
      <c r="D59" s="45" t="s">
        <v>613</v>
      </c>
      <c r="E59" s="45">
        <v>1871553759</v>
      </c>
      <c r="F59" s="46">
        <v>46242</v>
      </c>
      <c r="G59" s="6" t="s">
        <v>579</v>
      </c>
      <c r="H59" s="6" t="s">
        <v>19</v>
      </c>
      <c r="I59" s="6" t="s">
        <v>592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6">
        <v>57</v>
      </c>
      <c r="C60" s="36" t="s">
        <v>536</v>
      </c>
      <c r="D60" s="45" t="s">
        <v>614</v>
      </c>
      <c r="E60" s="45">
        <v>1132441153</v>
      </c>
      <c r="F60" s="46">
        <v>46242</v>
      </c>
      <c r="G60" s="6" t="s">
        <v>579</v>
      </c>
      <c r="H60" s="6" t="s">
        <v>19</v>
      </c>
      <c r="I60" s="6" t="s">
        <v>592</v>
      </c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6">
        <v>58</v>
      </c>
      <c r="C61" s="36" t="s">
        <v>536</v>
      </c>
      <c r="D61" s="47" t="s">
        <v>615</v>
      </c>
      <c r="E61" s="47">
        <v>1385340492</v>
      </c>
      <c r="F61" s="48">
        <v>46248</v>
      </c>
      <c r="G61" s="6" t="s">
        <v>579</v>
      </c>
      <c r="H61" s="6" t="s">
        <v>19</v>
      </c>
      <c r="I61" s="6" t="s">
        <v>592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6">
        <v>59</v>
      </c>
      <c r="C62" s="36" t="s">
        <v>536</v>
      </c>
      <c r="D62" s="47" t="s">
        <v>616</v>
      </c>
      <c r="E62" s="47">
        <v>1842024642</v>
      </c>
      <c r="F62" s="48">
        <v>46255</v>
      </c>
      <c r="G62" s="6" t="s">
        <v>579</v>
      </c>
      <c r="H62" s="6" t="s">
        <v>19</v>
      </c>
      <c r="I62" s="6" t="s">
        <v>592</v>
      </c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6">
        <v>60</v>
      </c>
      <c r="C63" s="36" t="s">
        <v>536</v>
      </c>
      <c r="D63" s="45" t="s">
        <v>617</v>
      </c>
      <c r="E63" s="45">
        <v>1431176158</v>
      </c>
      <c r="F63" s="46">
        <v>46238</v>
      </c>
      <c r="G63" s="6" t="s">
        <v>579</v>
      </c>
      <c r="H63" s="6" t="s">
        <v>19</v>
      </c>
      <c r="I63" s="6" t="s">
        <v>592</v>
      </c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4">
      <c r="A64" s="1"/>
      <c r="B64" s="6">
        <v>61</v>
      </c>
      <c r="C64" s="36" t="s">
        <v>536</v>
      </c>
      <c r="D64" s="8" t="s">
        <v>618</v>
      </c>
      <c r="E64" s="8">
        <v>1541440822</v>
      </c>
      <c r="F64" s="49" t="s">
        <v>619</v>
      </c>
      <c r="G64" s="6" t="s">
        <v>579</v>
      </c>
      <c r="H64" s="6" t="s">
        <v>19</v>
      </c>
      <c r="I64" s="6" t="s">
        <v>592</v>
      </c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4">
      <c r="A65" s="1"/>
      <c r="B65" s="6">
        <v>62</v>
      </c>
      <c r="C65" s="36" t="s">
        <v>536</v>
      </c>
      <c r="D65" s="8" t="s">
        <v>620</v>
      </c>
      <c r="E65" s="8">
        <v>1601641926</v>
      </c>
      <c r="F65" s="49" t="s">
        <v>619</v>
      </c>
      <c r="G65" s="6" t="s">
        <v>579</v>
      </c>
      <c r="H65" s="6" t="s">
        <v>19</v>
      </c>
      <c r="I65" s="6" t="s">
        <v>592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4">
      <c r="A66" s="1"/>
      <c r="B66" s="6">
        <v>63</v>
      </c>
      <c r="C66" s="36" t="s">
        <v>536</v>
      </c>
      <c r="D66" s="8" t="s">
        <v>621</v>
      </c>
      <c r="E66" s="8">
        <v>1940520225</v>
      </c>
      <c r="F66" s="49" t="s">
        <v>619</v>
      </c>
      <c r="G66" s="6" t="s">
        <v>579</v>
      </c>
      <c r="H66" s="6" t="s">
        <v>19</v>
      </c>
      <c r="I66" s="6" t="s">
        <v>592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4">
      <c r="A67" s="1"/>
      <c r="B67" s="6">
        <v>64</v>
      </c>
      <c r="C67" s="36" t="s">
        <v>536</v>
      </c>
      <c r="D67" s="8" t="s">
        <v>622</v>
      </c>
      <c r="E67" s="8">
        <v>1174589213</v>
      </c>
      <c r="F67" s="49" t="s">
        <v>619</v>
      </c>
      <c r="G67" s="6" t="s">
        <v>579</v>
      </c>
      <c r="H67" s="6" t="s">
        <v>19</v>
      </c>
      <c r="I67" s="6" t="s">
        <v>592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4">
      <c r="A68" s="1"/>
      <c r="B68" s="6">
        <v>65</v>
      </c>
      <c r="C68" s="36" t="s">
        <v>536</v>
      </c>
      <c r="D68" s="8" t="s">
        <v>623</v>
      </c>
      <c r="E68" s="8">
        <v>1971673186</v>
      </c>
      <c r="F68" s="49" t="s">
        <v>619</v>
      </c>
      <c r="G68" s="6" t="s">
        <v>579</v>
      </c>
      <c r="H68" s="6" t="s">
        <v>19</v>
      </c>
      <c r="I68" s="6" t="s">
        <v>592</v>
      </c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4">
      <c r="A69" s="1"/>
      <c r="B69" s="6">
        <v>66</v>
      </c>
      <c r="C69" s="36" t="s">
        <v>536</v>
      </c>
      <c r="D69" s="8" t="s">
        <v>624</v>
      </c>
      <c r="E69" s="8">
        <v>1430224002</v>
      </c>
      <c r="F69" s="49" t="s">
        <v>619</v>
      </c>
      <c r="G69" s="6" t="s">
        <v>579</v>
      </c>
      <c r="H69" s="6" t="s">
        <v>19</v>
      </c>
      <c r="I69" s="6" t="s">
        <v>592</v>
      </c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4">
      <c r="A70" s="1"/>
      <c r="B70" s="6">
        <v>67</v>
      </c>
      <c r="C70" s="36" t="s">
        <v>536</v>
      </c>
      <c r="D70" s="8" t="s">
        <v>625</v>
      </c>
      <c r="E70" s="8">
        <v>1247495565</v>
      </c>
      <c r="F70" s="49" t="s">
        <v>619</v>
      </c>
      <c r="G70" s="6" t="s">
        <v>579</v>
      </c>
      <c r="H70" s="6" t="s">
        <v>19</v>
      </c>
      <c r="I70" s="6" t="s">
        <v>592</v>
      </c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4">
      <c r="A71" s="1"/>
      <c r="B71" s="6">
        <v>68</v>
      </c>
      <c r="C71" s="36" t="s">
        <v>536</v>
      </c>
      <c r="D71" s="8" t="s">
        <v>607</v>
      </c>
      <c r="E71" s="8">
        <v>1335749271</v>
      </c>
      <c r="F71" s="49" t="s">
        <v>619</v>
      </c>
      <c r="G71" s="6" t="s">
        <v>579</v>
      </c>
      <c r="H71" s="6" t="s">
        <v>19</v>
      </c>
      <c r="I71" s="6" t="s">
        <v>592</v>
      </c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4">
      <c r="A72" s="1"/>
      <c r="B72" s="6">
        <v>69</v>
      </c>
      <c r="C72" s="36" t="s">
        <v>536</v>
      </c>
      <c r="D72" s="8" t="s">
        <v>606</v>
      </c>
      <c r="E72" s="8">
        <v>1708800018</v>
      </c>
      <c r="F72" s="49" t="s">
        <v>619</v>
      </c>
      <c r="G72" s="6" t="s">
        <v>579</v>
      </c>
      <c r="H72" s="6" t="s">
        <v>19</v>
      </c>
      <c r="I72" s="6" t="s">
        <v>592</v>
      </c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4">
      <c r="A73" s="1"/>
      <c r="B73" s="6">
        <v>70</v>
      </c>
      <c r="C73" s="36" t="s">
        <v>536</v>
      </c>
      <c r="D73" s="8" t="s">
        <v>602</v>
      </c>
      <c r="E73" s="8">
        <v>1383939345</v>
      </c>
      <c r="F73" s="49" t="s">
        <v>619</v>
      </c>
      <c r="G73" s="6" t="s">
        <v>579</v>
      </c>
      <c r="H73" s="6" t="s">
        <v>19</v>
      </c>
      <c r="I73" s="6" t="s">
        <v>592</v>
      </c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4">
      <c r="A74" s="1"/>
      <c r="B74" s="6">
        <v>71</v>
      </c>
      <c r="C74" s="36" t="s">
        <v>536</v>
      </c>
      <c r="D74" s="8" t="s">
        <v>626</v>
      </c>
      <c r="E74" s="8">
        <v>1479992063</v>
      </c>
      <c r="F74" s="49" t="s">
        <v>619</v>
      </c>
      <c r="G74" s="6" t="s">
        <v>579</v>
      </c>
      <c r="H74" s="6" t="s">
        <v>19</v>
      </c>
      <c r="I74" s="6" t="s">
        <v>592</v>
      </c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4">
      <c r="A75" s="1"/>
      <c r="B75" s="6">
        <v>72</v>
      </c>
      <c r="C75" s="36" t="s">
        <v>536</v>
      </c>
      <c r="D75" s="8" t="s">
        <v>628</v>
      </c>
      <c r="E75" s="8">
        <v>1571949494</v>
      </c>
      <c r="F75" s="49" t="s">
        <v>619</v>
      </c>
      <c r="G75" s="6" t="s">
        <v>579</v>
      </c>
      <c r="H75" s="6" t="s">
        <v>19</v>
      </c>
      <c r="I75" s="6" t="s">
        <v>592</v>
      </c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4">
      <c r="A76" s="1"/>
      <c r="B76" s="6">
        <v>73</v>
      </c>
      <c r="C76" s="36" t="s">
        <v>536</v>
      </c>
      <c r="D76" s="8" t="s">
        <v>629</v>
      </c>
      <c r="E76" s="8">
        <v>1339114628</v>
      </c>
      <c r="F76" s="49" t="s">
        <v>619</v>
      </c>
      <c r="G76" s="6" t="s">
        <v>579</v>
      </c>
      <c r="H76" s="6" t="s">
        <v>19</v>
      </c>
      <c r="I76" s="6" t="s">
        <v>592</v>
      </c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4">
      <c r="A77" s="1"/>
      <c r="B77" s="6">
        <v>74</v>
      </c>
      <c r="C77" s="36" t="s">
        <v>536</v>
      </c>
      <c r="D77" s="8" t="s">
        <v>630</v>
      </c>
      <c r="E77" s="8">
        <v>1140834165</v>
      </c>
      <c r="F77" s="49" t="s">
        <v>619</v>
      </c>
      <c r="G77" s="6" t="s">
        <v>579</v>
      </c>
      <c r="H77" s="6" t="s">
        <v>19</v>
      </c>
      <c r="I77" s="6" t="s">
        <v>592</v>
      </c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4">
      <c r="A78" s="1"/>
      <c r="B78" s="6">
        <v>75</v>
      </c>
      <c r="C78" s="36" t="s">
        <v>536</v>
      </c>
      <c r="D78" s="8" t="s">
        <v>633</v>
      </c>
      <c r="E78" s="8">
        <v>1604301928</v>
      </c>
      <c r="F78" s="49" t="s">
        <v>619</v>
      </c>
      <c r="G78" s="6" t="s">
        <v>579</v>
      </c>
      <c r="H78" s="6" t="s">
        <v>19</v>
      </c>
      <c r="I78" s="6" t="s">
        <v>592</v>
      </c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4">
      <c r="A79" s="1"/>
      <c r="B79" s="6">
        <v>76</v>
      </c>
      <c r="C79" s="36" t="s">
        <v>536</v>
      </c>
      <c r="D79" s="8" t="s">
        <v>608</v>
      </c>
      <c r="E79" s="8">
        <v>1460633025</v>
      </c>
      <c r="F79" s="49" t="s">
        <v>619</v>
      </c>
      <c r="G79" s="6" t="s">
        <v>579</v>
      </c>
      <c r="H79" s="6" t="s">
        <v>19</v>
      </c>
      <c r="I79" s="6" t="s">
        <v>592</v>
      </c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4">
      <c r="A80" s="1"/>
      <c r="B80" s="6">
        <v>77</v>
      </c>
      <c r="C80" s="36" t="s">
        <v>536</v>
      </c>
      <c r="D80" s="8" t="s">
        <v>637</v>
      </c>
      <c r="E80" s="8">
        <v>1983629855</v>
      </c>
      <c r="F80" s="49" t="s">
        <v>619</v>
      </c>
      <c r="G80" s="6" t="s">
        <v>579</v>
      </c>
      <c r="H80" s="6" t="s">
        <v>19</v>
      </c>
      <c r="I80" s="6" t="s">
        <v>592</v>
      </c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4">
      <c r="A81" s="1"/>
      <c r="B81" s="6">
        <v>78</v>
      </c>
      <c r="C81" s="36" t="s">
        <v>536</v>
      </c>
      <c r="D81" s="8" t="s">
        <v>640</v>
      </c>
      <c r="E81" s="8">
        <v>1766101758</v>
      </c>
      <c r="F81" s="9">
        <v>46134</v>
      </c>
      <c r="G81" s="6" t="s">
        <v>579</v>
      </c>
      <c r="H81" s="6" t="s">
        <v>19</v>
      </c>
      <c r="I81" s="6" t="s">
        <v>642</v>
      </c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4">
      <c r="A82" s="1"/>
      <c r="B82" s="6">
        <v>79</v>
      </c>
      <c r="C82" s="36" t="s">
        <v>536</v>
      </c>
      <c r="D82" s="8" t="s">
        <v>643</v>
      </c>
      <c r="E82" s="8">
        <v>1425746086</v>
      </c>
      <c r="F82" s="9">
        <v>46128</v>
      </c>
      <c r="G82" s="6" t="s">
        <v>579</v>
      </c>
      <c r="H82" s="6" t="s">
        <v>19</v>
      </c>
      <c r="I82" s="6" t="s">
        <v>642</v>
      </c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4">
      <c r="A83" s="1"/>
      <c r="B83" s="6">
        <v>80</v>
      </c>
      <c r="C83" s="36" t="s">
        <v>536</v>
      </c>
      <c r="D83" s="8" t="s">
        <v>646</v>
      </c>
      <c r="E83" s="8">
        <v>1475000755</v>
      </c>
      <c r="F83" s="9">
        <v>46127</v>
      </c>
      <c r="G83" s="6" t="s">
        <v>579</v>
      </c>
      <c r="H83" s="6" t="s">
        <v>19</v>
      </c>
      <c r="I83" s="6" t="s">
        <v>642</v>
      </c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4">
      <c r="A84" s="1"/>
      <c r="B84" s="6">
        <v>81</v>
      </c>
      <c r="C84" s="36" t="s">
        <v>536</v>
      </c>
      <c r="D84" s="8" t="s">
        <v>648</v>
      </c>
      <c r="E84" s="8">
        <v>1735010775</v>
      </c>
      <c r="F84" s="9">
        <v>46113</v>
      </c>
      <c r="G84" s="6" t="s">
        <v>579</v>
      </c>
      <c r="H84" s="6" t="s">
        <v>19</v>
      </c>
      <c r="I84" s="6" t="s">
        <v>642</v>
      </c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4">
      <c r="A85" s="1"/>
      <c r="B85" s="6">
        <v>82</v>
      </c>
      <c r="C85" s="36" t="s">
        <v>536</v>
      </c>
      <c r="D85" s="41" t="s">
        <v>650</v>
      </c>
      <c r="E85" s="41">
        <v>1343360453</v>
      </c>
      <c r="F85" s="42">
        <v>46167</v>
      </c>
      <c r="G85" s="6" t="s">
        <v>579</v>
      </c>
      <c r="H85" s="6" t="s">
        <v>19</v>
      </c>
      <c r="I85" s="6" t="s">
        <v>642</v>
      </c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4">
      <c r="A86" s="1"/>
      <c r="B86" s="6">
        <v>83</v>
      </c>
      <c r="C86" s="36" t="s">
        <v>536</v>
      </c>
      <c r="D86" s="41" t="s">
        <v>654</v>
      </c>
      <c r="E86" s="41">
        <v>1167924079</v>
      </c>
      <c r="F86" s="42">
        <v>46164</v>
      </c>
      <c r="G86" s="6" t="s">
        <v>579</v>
      </c>
      <c r="H86" s="6" t="s">
        <v>19</v>
      </c>
      <c r="I86" s="6" t="s">
        <v>642</v>
      </c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4">
      <c r="A87" s="1"/>
      <c r="B87" s="6">
        <v>84</v>
      </c>
      <c r="C87" s="36" t="s">
        <v>536</v>
      </c>
      <c r="D87" s="41" t="s">
        <v>656</v>
      </c>
      <c r="E87" s="41">
        <v>1158709634</v>
      </c>
      <c r="F87" s="42">
        <v>46154</v>
      </c>
      <c r="G87" s="6" t="s">
        <v>579</v>
      </c>
      <c r="H87" s="6" t="s">
        <v>19</v>
      </c>
      <c r="I87" s="6" t="s">
        <v>642</v>
      </c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4">
      <c r="A88" s="1"/>
      <c r="B88" s="6">
        <v>85</v>
      </c>
      <c r="C88" s="36" t="s">
        <v>536</v>
      </c>
      <c r="D88" s="41" t="s">
        <v>658</v>
      </c>
      <c r="E88" s="41">
        <v>1661377226</v>
      </c>
      <c r="F88" s="42">
        <v>46153</v>
      </c>
      <c r="G88" s="6" t="s">
        <v>579</v>
      </c>
      <c r="H88" s="6" t="s">
        <v>19</v>
      </c>
      <c r="I88" s="6" t="s">
        <v>642</v>
      </c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4">
      <c r="A89" s="1"/>
      <c r="B89" s="6">
        <v>86</v>
      </c>
      <c r="C89" s="36" t="s">
        <v>536</v>
      </c>
      <c r="D89" s="43" t="s">
        <v>660</v>
      </c>
      <c r="E89" s="43">
        <v>1726288359</v>
      </c>
      <c r="F89" s="44">
        <v>46185</v>
      </c>
      <c r="G89" s="6" t="s">
        <v>579</v>
      </c>
      <c r="H89" s="6" t="s">
        <v>19</v>
      </c>
      <c r="I89" s="6" t="s">
        <v>642</v>
      </c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4">
      <c r="A90" s="1"/>
      <c r="B90" s="6">
        <v>87</v>
      </c>
      <c r="C90" s="36" t="s">
        <v>536</v>
      </c>
      <c r="D90" s="8" t="s">
        <v>663</v>
      </c>
      <c r="E90" s="8">
        <v>1144656423</v>
      </c>
      <c r="F90" s="9">
        <v>46227</v>
      </c>
      <c r="G90" s="6" t="s">
        <v>579</v>
      </c>
      <c r="H90" s="6" t="s">
        <v>19</v>
      </c>
      <c r="I90" s="6" t="s">
        <v>642</v>
      </c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4">
      <c r="A91" s="1"/>
      <c r="B91" s="6">
        <v>88</v>
      </c>
      <c r="C91" s="36" t="s">
        <v>536</v>
      </c>
      <c r="D91" s="8" t="s">
        <v>665</v>
      </c>
      <c r="E91" s="8">
        <v>1881759554</v>
      </c>
      <c r="F91" s="9">
        <v>46225</v>
      </c>
      <c r="G91" s="6" t="s">
        <v>579</v>
      </c>
      <c r="H91" s="6" t="s">
        <v>19</v>
      </c>
      <c r="I91" s="6" t="s">
        <v>642</v>
      </c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4">
      <c r="A92" s="1"/>
      <c r="B92" s="6">
        <v>89</v>
      </c>
      <c r="C92" s="36" t="s">
        <v>536</v>
      </c>
      <c r="D92" s="8" t="s">
        <v>667</v>
      </c>
      <c r="E92" s="8">
        <v>1132703381</v>
      </c>
      <c r="F92" s="9">
        <v>46211</v>
      </c>
      <c r="G92" s="6" t="s">
        <v>579</v>
      </c>
      <c r="H92" s="6" t="s">
        <v>19</v>
      </c>
      <c r="I92" s="6" t="s">
        <v>642</v>
      </c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4">
      <c r="A93" s="1"/>
      <c r="B93" s="6">
        <v>90</v>
      </c>
      <c r="C93" s="36" t="s">
        <v>536</v>
      </c>
      <c r="D93" s="8" t="s">
        <v>670</v>
      </c>
      <c r="E93" s="8">
        <v>1472077095</v>
      </c>
      <c r="F93" s="9">
        <v>46211</v>
      </c>
      <c r="G93" s="6" t="s">
        <v>579</v>
      </c>
      <c r="H93" s="6" t="s">
        <v>19</v>
      </c>
      <c r="I93" s="6" t="s">
        <v>642</v>
      </c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6">
        <v>91</v>
      </c>
      <c r="C94" s="36" t="s">
        <v>536</v>
      </c>
      <c r="D94" s="45" t="s">
        <v>673</v>
      </c>
      <c r="E94" s="45">
        <v>1719755056</v>
      </c>
      <c r="F94" s="46">
        <v>46246</v>
      </c>
      <c r="G94" s="6" t="s">
        <v>579</v>
      </c>
      <c r="H94" s="6" t="s">
        <v>19</v>
      </c>
      <c r="I94" s="6" t="s">
        <v>642</v>
      </c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6">
        <v>92</v>
      </c>
      <c r="C95" s="36" t="s">
        <v>536</v>
      </c>
      <c r="D95" s="47" t="s">
        <v>675</v>
      </c>
      <c r="E95" s="47">
        <v>1939800132</v>
      </c>
      <c r="F95" s="48">
        <v>46254</v>
      </c>
      <c r="G95" s="6" t="s">
        <v>579</v>
      </c>
      <c r="H95" s="6" t="s">
        <v>19</v>
      </c>
      <c r="I95" s="6" t="s">
        <v>642</v>
      </c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4">
      <c r="A96" s="1"/>
      <c r="B96" s="6">
        <v>93</v>
      </c>
      <c r="C96" s="36" t="s">
        <v>536</v>
      </c>
      <c r="D96" s="8" t="s">
        <v>677</v>
      </c>
      <c r="E96" s="8">
        <v>1766101758</v>
      </c>
      <c r="F96" s="49" t="s">
        <v>619</v>
      </c>
      <c r="G96" s="6" t="s">
        <v>579</v>
      </c>
      <c r="H96" s="6" t="s">
        <v>19</v>
      </c>
      <c r="I96" s="6" t="s">
        <v>642</v>
      </c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4">
      <c r="A97" s="1"/>
      <c r="B97" s="6">
        <v>94</v>
      </c>
      <c r="C97" s="36" t="s">
        <v>536</v>
      </c>
      <c r="D97" s="8" t="s">
        <v>680</v>
      </c>
      <c r="E97" s="8">
        <v>1501610967</v>
      </c>
      <c r="F97" s="49" t="s">
        <v>619</v>
      </c>
      <c r="G97" s="6" t="s">
        <v>579</v>
      </c>
      <c r="H97" s="6" t="s">
        <v>19</v>
      </c>
      <c r="I97" s="6" t="s">
        <v>642</v>
      </c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4">
      <c r="A98" s="1"/>
      <c r="B98" s="6">
        <v>95</v>
      </c>
      <c r="C98" s="36" t="s">
        <v>536</v>
      </c>
      <c r="D98" s="8" t="s">
        <v>682</v>
      </c>
      <c r="E98" s="8">
        <v>1240786559</v>
      </c>
      <c r="F98" s="49" t="s">
        <v>619</v>
      </c>
      <c r="G98" s="6" t="s">
        <v>579</v>
      </c>
      <c r="H98" s="6" t="s">
        <v>19</v>
      </c>
      <c r="I98" s="6" t="s">
        <v>642</v>
      </c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4">
      <c r="A99" s="1"/>
      <c r="B99" s="6">
        <v>96</v>
      </c>
      <c r="C99" s="36" t="s">
        <v>536</v>
      </c>
      <c r="D99" s="8" t="s">
        <v>684</v>
      </c>
      <c r="E99" s="8">
        <v>1239332811</v>
      </c>
      <c r="F99" s="49" t="s">
        <v>619</v>
      </c>
      <c r="G99" s="6" t="s">
        <v>579</v>
      </c>
      <c r="H99" s="6" t="s">
        <v>19</v>
      </c>
      <c r="I99" s="6" t="s">
        <v>642</v>
      </c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4">
      <c r="A100" s="1"/>
      <c r="B100" s="6">
        <v>97</v>
      </c>
      <c r="C100" s="36" t="s">
        <v>536</v>
      </c>
      <c r="D100" s="8" t="s">
        <v>660</v>
      </c>
      <c r="E100" s="8">
        <v>1726288359</v>
      </c>
      <c r="F100" s="49" t="s">
        <v>619</v>
      </c>
      <c r="G100" s="6" t="s">
        <v>579</v>
      </c>
      <c r="H100" s="6" t="s">
        <v>19</v>
      </c>
      <c r="I100" s="6" t="s">
        <v>642</v>
      </c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4">
      <c r="A101" s="1"/>
      <c r="B101" s="6">
        <v>98</v>
      </c>
      <c r="C101" s="36" t="s">
        <v>536</v>
      </c>
      <c r="D101" s="8" t="s">
        <v>650</v>
      </c>
      <c r="E101" s="8">
        <v>1343360453</v>
      </c>
      <c r="F101" s="49" t="s">
        <v>619</v>
      </c>
      <c r="G101" s="6" t="s">
        <v>579</v>
      </c>
      <c r="H101" s="6" t="s">
        <v>19</v>
      </c>
      <c r="I101" s="6" t="s">
        <v>642</v>
      </c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4">
      <c r="A102" s="1"/>
      <c r="B102" s="6">
        <v>99</v>
      </c>
      <c r="C102" s="36" t="s">
        <v>536</v>
      </c>
      <c r="D102" s="8" t="s">
        <v>643</v>
      </c>
      <c r="E102" s="8">
        <v>1425746086</v>
      </c>
      <c r="F102" s="49" t="s">
        <v>619</v>
      </c>
      <c r="G102" s="6" t="s">
        <v>579</v>
      </c>
      <c r="H102" s="6" t="s">
        <v>19</v>
      </c>
      <c r="I102" s="6" t="s">
        <v>642</v>
      </c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4">
      <c r="A103" s="1"/>
      <c r="B103" s="6">
        <v>100</v>
      </c>
      <c r="C103" s="36" t="s">
        <v>536</v>
      </c>
      <c r="D103" s="8" t="s">
        <v>690</v>
      </c>
      <c r="E103" s="8">
        <v>1907228011</v>
      </c>
      <c r="F103" s="49" t="s">
        <v>619</v>
      </c>
      <c r="G103" s="6" t="s">
        <v>579</v>
      </c>
      <c r="H103" s="6" t="s">
        <v>19</v>
      </c>
      <c r="I103" s="6" t="s">
        <v>642</v>
      </c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4">
      <c r="A104" s="1"/>
      <c r="B104" s="6">
        <v>101</v>
      </c>
      <c r="C104" s="36" t="s">
        <v>536</v>
      </c>
      <c r="D104" s="8" t="s">
        <v>693</v>
      </c>
      <c r="E104" s="8">
        <v>1780666446</v>
      </c>
      <c r="F104" s="49" t="s">
        <v>619</v>
      </c>
      <c r="G104" s="6" t="s">
        <v>579</v>
      </c>
      <c r="H104" s="6" t="s">
        <v>19</v>
      </c>
      <c r="I104" s="6" t="s">
        <v>642</v>
      </c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4">
      <c r="A105" s="1"/>
      <c r="B105" s="6">
        <v>102</v>
      </c>
      <c r="C105" s="36" t="s">
        <v>536</v>
      </c>
      <c r="D105" s="8" t="s">
        <v>695</v>
      </c>
      <c r="E105" s="8">
        <v>1107368498</v>
      </c>
      <c r="F105" s="49" t="s">
        <v>619</v>
      </c>
      <c r="G105" s="6" t="s">
        <v>579</v>
      </c>
      <c r="H105" s="6" t="s">
        <v>19</v>
      </c>
      <c r="I105" s="6" t="s">
        <v>642</v>
      </c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>
      <c r="A106" s="1"/>
      <c r="B106" s="1"/>
      <c r="C106" s="11"/>
      <c r="D106" s="11"/>
      <c r="E106" s="11"/>
      <c r="F106" s="1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>
      <c r="A107" s="1"/>
      <c r="B107" s="1"/>
      <c r="C107" s="11"/>
      <c r="D107" s="11"/>
      <c r="E107" s="11"/>
      <c r="F107" s="1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>
      <c r="A108" s="1"/>
      <c r="B108" s="1"/>
      <c r="C108" s="11"/>
      <c r="D108" s="11"/>
      <c r="E108" s="11"/>
      <c r="F108" s="1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>
      <c r="A109" s="1"/>
      <c r="B109" s="1"/>
      <c r="C109" s="11"/>
      <c r="D109" s="11"/>
      <c r="E109" s="11"/>
      <c r="F109" s="1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>
      <c r="A110" s="1"/>
      <c r="B110" s="1"/>
      <c r="C110" s="11"/>
      <c r="D110" s="11"/>
      <c r="E110" s="11"/>
      <c r="F110" s="1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>
      <c r="A111" s="1"/>
      <c r="B111" s="1"/>
      <c r="C111" s="35"/>
      <c r="D111" s="3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>
      <c r="A112" s="1"/>
      <c r="B112" s="1"/>
      <c r="C112" s="35"/>
      <c r="D112" s="3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>
      <c r="A113" s="1"/>
      <c r="B113" s="1"/>
      <c r="C113" s="35"/>
      <c r="D113" s="3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>
      <c r="A114" s="1"/>
      <c r="B114" s="1"/>
      <c r="C114" s="35"/>
      <c r="D114" s="3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>
      <c r="A115" s="1"/>
      <c r="B115" s="1"/>
      <c r="C115" s="35"/>
      <c r="D115" s="3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>
      <c r="A116" s="1"/>
      <c r="B116" s="1"/>
      <c r="C116" s="35"/>
      <c r="D116" s="3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>
      <c r="A117" s="1"/>
      <c r="B117" s="1"/>
      <c r="C117" s="35"/>
      <c r="D117" s="3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>
      <c r="A118" s="1"/>
      <c r="B118" s="1"/>
      <c r="C118" s="35"/>
      <c r="D118" s="3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>
      <c r="A119" s="1"/>
      <c r="B119" s="1"/>
      <c r="C119" s="35"/>
      <c r="D119" s="3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>
      <c r="A120" s="1"/>
      <c r="B120" s="1"/>
      <c r="C120" s="35"/>
      <c r="D120" s="3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>
      <c r="A121" s="1"/>
      <c r="B121" s="1"/>
      <c r="C121" s="35"/>
      <c r="D121" s="3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>
      <c r="A122" s="1"/>
      <c r="B122" s="1"/>
      <c r="C122" s="35"/>
      <c r="D122" s="3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>
      <c r="A123" s="1"/>
      <c r="B123" s="1"/>
      <c r="C123" s="35"/>
      <c r="D123" s="3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>
      <c r="A124" s="1"/>
      <c r="B124" s="1"/>
      <c r="C124" s="35"/>
      <c r="D124" s="3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>
      <c r="A125" s="1"/>
      <c r="B125" s="1"/>
      <c r="C125" s="35"/>
      <c r="D125" s="3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>
      <c r="A126" s="1"/>
      <c r="B126" s="1"/>
      <c r="C126" s="35"/>
      <c r="D126" s="3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>
      <c r="A127" s="1"/>
      <c r="B127" s="1"/>
      <c r="C127" s="35"/>
      <c r="D127" s="3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>
      <c r="A128" s="1"/>
      <c r="B128" s="1"/>
      <c r="C128" s="35"/>
      <c r="D128" s="3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>
      <c r="A129" s="1"/>
      <c r="B129" s="1"/>
      <c r="C129" s="35"/>
      <c r="D129" s="3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>
      <c r="A130" s="1"/>
      <c r="B130" s="1"/>
      <c r="C130" s="35"/>
      <c r="D130" s="3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>
      <c r="A131" s="1"/>
      <c r="B131" s="1"/>
      <c r="C131" s="35"/>
      <c r="D131" s="3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>
      <c r="A132" s="1"/>
      <c r="B132" s="1"/>
      <c r="C132" s="35"/>
      <c r="D132" s="3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>
      <c r="A133" s="1"/>
      <c r="B133" s="1"/>
      <c r="C133" s="35"/>
      <c r="D133" s="3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>
      <c r="A134" s="1"/>
      <c r="B134" s="1"/>
      <c r="C134" s="35"/>
      <c r="D134" s="3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>
      <c r="A135" s="1"/>
      <c r="B135" s="1"/>
      <c r="C135" s="35"/>
      <c r="D135" s="3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>
      <c r="A136" s="1"/>
      <c r="B136" s="1"/>
      <c r="C136" s="35"/>
      <c r="D136" s="3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>
      <c r="A137" s="1"/>
      <c r="B137" s="1"/>
      <c r="C137" s="35"/>
      <c r="D137" s="3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>
      <c r="A138" s="1"/>
      <c r="B138" s="1"/>
      <c r="C138" s="35"/>
      <c r="D138" s="3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>
      <c r="A139" s="1"/>
      <c r="B139" s="1"/>
      <c r="C139" s="35"/>
      <c r="D139" s="3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>
      <c r="A140" s="1"/>
      <c r="B140" s="1"/>
      <c r="C140" s="35"/>
      <c r="D140" s="3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>
      <c r="A141" s="1"/>
      <c r="B141" s="1"/>
      <c r="C141" s="35"/>
      <c r="D141" s="3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>
      <c r="A142" s="1"/>
      <c r="B142" s="1"/>
      <c r="C142" s="35"/>
      <c r="D142" s="3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>
      <c r="A143" s="1"/>
      <c r="B143" s="1"/>
      <c r="C143" s="35"/>
      <c r="D143" s="3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>
      <c r="A144" s="1"/>
      <c r="B144" s="1"/>
      <c r="C144" s="35"/>
      <c r="D144" s="3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>
      <c r="A145" s="1"/>
      <c r="B145" s="1"/>
      <c r="C145" s="35"/>
      <c r="D145" s="3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>
      <c r="A146" s="1"/>
      <c r="B146" s="1"/>
      <c r="C146" s="35"/>
      <c r="D146" s="3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>
      <c r="A147" s="1"/>
      <c r="B147" s="1"/>
      <c r="C147" s="35"/>
      <c r="D147" s="3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>
      <c r="A148" s="1"/>
      <c r="B148" s="1"/>
      <c r="C148" s="35"/>
      <c r="D148" s="3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>
      <c r="A149" s="1"/>
      <c r="B149" s="1"/>
      <c r="C149" s="35"/>
      <c r="D149" s="3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>
      <c r="A150" s="1"/>
      <c r="B150" s="1"/>
      <c r="C150" s="35"/>
      <c r="D150" s="3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>
      <c r="A151" s="1"/>
      <c r="B151" s="1"/>
      <c r="C151" s="35"/>
      <c r="D151" s="3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>
      <c r="A152" s="1"/>
      <c r="B152" s="1"/>
      <c r="C152" s="35"/>
      <c r="D152" s="3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>
      <c r="A153" s="1"/>
      <c r="B153" s="1"/>
      <c r="C153" s="35"/>
      <c r="D153" s="3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>
      <c r="A154" s="1"/>
      <c r="B154" s="1"/>
      <c r="C154" s="35"/>
      <c r="D154" s="3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>
      <c r="A155" s="1"/>
      <c r="B155" s="1"/>
      <c r="C155" s="35"/>
      <c r="D155" s="3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>
      <c r="A156" s="1"/>
      <c r="B156" s="1"/>
      <c r="C156" s="35"/>
      <c r="D156" s="3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>
      <c r="A157" s="1"/>
      <c r="B157" s="1"/>
      <c r="C157" s="35"/>
      <c r="D157" s="3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>
      <c r="A158" s="1"/>
      <c r="B158" s="1"/>
      <c r="C158" s="35"/>
      <c r="D158" s="3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>
      <c r="A159" s="1"/>
      <c r="B159" s="1"/>
      <c r="C159" s="35"/>
      <c r="D159" s="3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>
      <c r="A160" s="1"/>
      <c r="B160" s="1"/>
      <c r="C160" s="35"/>
      <c r="D160" s="3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>
      <c r="A161" s="1"/>
      <c r="B161" s="1"/>
      <c r="C161" s="35"/>
      <c r="D161" s="3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>
      <c r="A162" s="1"/>
      <c r="B162" s="1"/>
      <c r="C162" s="35"/>
      <c r="D162" s="3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>
      <c r="A163" s="1"/>
      <c r="B163" s="1"/>
      <c r="C163" s="35"/>
      <c r="D163" s="3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>
      <c r="A164" s="1"/>
      <c r="B164" s="1"/>
      <c r="C164" s="35"/>
      <c r="D164" s="3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>
      <c r="A165" s="1"/>
      <c r="B165" s="1"/>
      <c r="C165" s="35"/>
      <c r="D165" s="3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>
      <c r="A166" s="1"/>
      <c r="B166" s="1"/>
      <c r="C166" s="35"/>
      <c r="D166" s="3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>
      <c r="A167" s="1"/>
      <c r="B167" s="1"/>
      <c r="C167" s="35"/>
      <c r="D167" s="3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>
      <c r="A168" s="1"/>
      <c r="B168" s="1"/>
      <c r="C168" s="35"/>
      <c r="D168" s="3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>
      <c r="A169" s="1"/>
      <c r="B169" s="1"/>
      <c r="C169" s="35"/>
      <c r="D169" s="3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>
      <c r="A170" s="1"/>
      <c r="B170" s="1"/>
      <c r="C170" s="35"/>
      <c r="D170" s="3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>
      <c r="A171" s="1"/>
      <c r="B171" s="1"/>
      <c r="C171" s="35"/>
      <c r="D171" s="3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>
      <c r="A172" s="1"/>
      <c r="B172" s="1"/>
      <c r="C172" s="35"/>
      <c r="D172" s="3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>
      <c r="A173" s="1"/>
      <c r="B173" s="1"/>
      <c r="C173" s="35"/>
      <c r="D173" s="3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>
      <c r="A174" s="1"/>
      <c r="B174" s="1"/>
      <c r="C174" s="35"/>
      <c r="D174" s="3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>
      <c r="A175" s="1"/>
      <c r="B175" s="1"/>
      <c r="C175" s="35"/>
      <c r="D175" s="3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>
      <c r="A176" s="1"/>
      <c r="B176" s="1"/>
      <c r="C176" s="35"/>
      <c r="D176" s="3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>
      <c r="A177" s="1"/>
      <c r="B177" s="1"/>
      <c r="C177" s="35"/>
      <c r="D177" s="3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>
      <c r="A178" s="1"/>
      <c r="B178" s="1"/>
      <c r="C178" s="35"/>
      <c r="D178" s="3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>
      <c r="A179" s="1"/>
      <c r="B179" s="1"/>
      <c r="C179" s="35"/>
      <c r="D179" s="3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>
      <c r="A180" s="1"/>
      <c r="B180" s="1"/>
      <c r="C180" s="35"/>
      <c r="D180" s="3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>
      <c r="A181" s="1"/>
      <c r="B181" s="1"/>
      <c r="C181" s="35"/>
      <c r="D181" s="3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>
      <c r="A182" s="1"/>
      <c r="B182" s="1"/>
      <c r="C182" s="35"/>
      <c r="D182" s="3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>
      <c r="A183" s="1"/>
      <c r="B183" s="1"/>
      <c r="C183" s="35"/>
      <c r="D183" s="3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>
      <c r="A184" s="1"/>
      <c r="B184" s="1"/>
      <c r="C184" s="35"/>
      <c r="D184" s="3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>
      <c r="A185" s="1"/>
      <c r="B185" s="1"/>
      <c r="C185" s="35"/>
      <c r="D185" s="3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>
      <c r="A186" s="1"/>
      <c r="B186" s="1"/>
      <c r="C186" s="35"/>
      <c r="D186" s="3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>
      <c r="A187" s="1"/>
      <c r="B187" s="1"/>
      <c r="C187" s="35"/>
      <c r="D187" s="3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>
      <c r="A188" s="1"/>
      <c r="B188" s="1"/>
      <c r="C188" s="35"/>
      <c r="D188" s="3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>
      <c r="A189" s="1"/>
      <c r="B189" s="1"/>
      <c r="C189" s="35"/>
      <c r="D189" s="3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>
      <c r="A190" s="1"/>
      <c r="B190" s="1"/>
      <c r="C190" s="35"/>
      <c r="D190" s="3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>
      <c r="A191" s="1"/>
      <c r="B191" s="1"/>
      <c r="C191" s="35"/>
      <c r="D191" s="3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>
      <c r="A192" s="1"/>
      <c r="B192" s="1"/>
      <c r="C192" s="35"/>
      <c r="D192" s="3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>
      <c r="A193" s="1"/>
      <c r="B193" s="1"/>
      <c r="C193" s="35"/>
      <c r="D193" s="3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>
      <c r="A194" s="1"/>
      <c r="B194" s="1"/>
      <c r="C194" s="35"/>
      <c r="D194" s="3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>
      <c r="A195" s="1"/>
      <c r="B195" s="1"/>
      <c r="C195" s="35"/>
      <c r="D195" s="3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>
      <c r="A196" s="1"/>
      <c r="B196" s="1"/>
      <c r="C196" s="35"/>
      <c r="D196" s="3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>
      <c r="A197" s="1"/>
      <c r="B197" s="1"/>
      <c r="C197" s="35"/>
      <c r="D197" s="3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>
      <c r="A198" s="1"/>
      <c r="B198" s="1"/>
      <c r="C198" s="35"/>
      <c r="D198" s="3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>
      <c r="A199" s="1"/>
      <c r="B199" s="1"/>
      <c r="C199" s="35"/>
      <c r="D199" s="3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>
      <c r="A200" s="1"/>
      <c r="B200" s="1"/>
      <c r="C200" s="35"/>
      <c r="D200" s="3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>
      <c r="A201" s="1"/>
      <c r="B201" s="1"/>
      <c r="C201" s="35"/>
      <c r="D201" s="3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>
      <c r="A202" s="1"/>
      <c r="B202" s="1"/>
      <c r="C202" s="35"/>
      <c r="D202" s="3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>
      <c r="A203" s="1"/>
      <c r="B203" s="1"/>
      <c r="C203" s="35"/>
      <c r="D203" s="3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>
      <c r="A204" s="1"/>
      <c r="B204" s="1"/>
      <c r="C204" s="35"/>
      <c r="D204" s="3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>
      <c r="A205" s="1"/>
      <c r="B205" s="1"/>
      <c r="C205" s="35"/>
      <c r="D205" s="3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>
      <c r="A206" s="1"/>
      <c r="B206" s="1"/>
      <c r="C206" s="35"/>
      <c r="D206" s="3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>
      <c r="A207" s="1"/>
      <c r="B207" s="1"/>
      <c r="C207" s="35"/>
      <c r="D207" s="3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>
      <c r="A208" s="1"/>
      <c r="B208" s="1"/>
      <c r="C208" s="35"/>
      <c r="D208" s="3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>
      <c r="A209" s="1"/>
      <c r="B209" s="1"/>
      <c r="C209" s="35"/>
      <c r="D209" s="3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>
      <c r="A210" s="1"/>
      <c r="B210" s="1"/>
      <c r="C210" s="35"/>
      <c r="D210" s="3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>
      <c r="A211" s="1"/>
      <c r="B211" s="1"/>
      <c r="C211" s="35"/>
      <c r="D211" s="3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>
      <c r="A212" s="1"/>
      <c r="B212" s="1"/>
      <c r="C212" s="35"/>
      <c r="D212" s="3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>
      <c r="A213" s="1"/>
      <c r="B213" s="1"/>
      <c r="C213" s="35"/>
      <c r="D213" s="3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>
      <c r="A214" s="1"/>
      <c r="B214" s="1"/>
      <c r="C214" s="35"/>
      <c r="D214" s="3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>
      <c r="A215" s="1"/>
      <c r="B215" s="1"/>
      <c r="C215" s="35"/>
      <c r="D215" s="3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>
      <c r="A216" s="1"/>
      <c r="B216" s="1"/>
      <c r="C216" s="35"/>
      <c r="D216" s="3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>
      <c r="A217" s="1"/>
      <c r="B217" s="1"/>
      <c r="C217" s="35"/>
      <c r="D217" s="3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>
      <c r="A218" s="1"/>
      <c r="B218" s="1"/>
      <c r="C218" s="35"/>
      <c r="D218" s="3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>
      <c r="A219" s="1"/>
      <c r="B219" s="1"/>
      <c r="C219" s="35"/>
      <c r="D219" s="3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>
      <c r="A220" s="1"/>
      <c r="B220" s="1"/>
      <c r="C220" s="35"/>
      <c r="D220" s="3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>
      <c r="A221" s="1"/>
      <c r="B221" s="1"/>
      <c r="C221" s="35"/>
      <c r="D221" s="3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>
      <c r="A222" s="1"/>
      <c r="B222" s="1"/>
      <c r="C222" s="35"/>
      <c r="D222" s="3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>
      <c r="A223" s="1"/>
      <c r="B223" s="1"/>
      <c r="C223" s="35"/>
      <c r="D223" s="3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>
      <c r="A224" s="1"/>
      <c r="B224" s="1"/>
      <c r="C224" s="35"/>
      <c r="D224" s="3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>
      <c r="A225" s="1"/>
      <c r="B225" s="1"/>
      <c r="C225" s="35"/>
      <c r="D225" s="3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>
      <c r="A226" s="1"/>
      <c r="B226" s="1"/>
      <c r="C226" s="35"/>
      <c r="D226" s="3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>
      <c r="A227" s="1"/>
      <c r="B227" s="1"/>
      <c r="C227" s="35"/>
      <c r="D227" s="3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>
      <c r="A228" s="1"/>
      <c r="B228" s="1"/>
      <c r="C228" s="35"/>
      <c r="D228" s="3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>
      <c r="A229" s="1"/>
      <c r="B229" s="1"/>
      <c r="C229" s="35"/>
      <c r="D229" s="3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>
      <c r="A230" s="1"/>
      <c r="B230" s="1"/>
      <c r="C230" s="35"/>
      <c r="D230" s="3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>
      <c r="A231" s="1"/>
      <c r="B231" s="1"/>
      <c r="C231" s="35"/>
      <c r="D231" s="3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>
      <c r="A232" s="1"/>
      <c r="B232" s="1"/>
      <c r="C232" s="35"/>
      <c r="D232" s="3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>
      <c r="A233" s="1"/>
      <c r="B233" s="1"/>
      <c r="C233" s="35"/>
      <c r="D233" s="3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>
      <c r="A234" s="1"/>
      <c r="B234" s="1"/>
      <c r="C234" s="35"/>
      <c r="D234" s="3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>
      <c r="A235" s="1"/>
      <c r="B235" s="1"/>
      <c r="C235" s="35"/>
      <c r="D235" s="3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>
      <c r="A236" s="1"/>
      <c r="B236" s="1"/>
      <c r="C236" s="35"/>
      <c r="D236" s="3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>
      <c r="A237" s="1"/>
      <c r="B237" s="1"/>
      <c r="C237" s="35"/>
      <c r="D237" s="3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>
      <c r="A238" s="1"/>
      <c r="B238" s="1"/>
      <c r="C238" s="35"/>
      <c r="D238" s="3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>
      <c r="A239" s="1"/>
      <c r="B239" s="1"/>
      <c r="C239" s="35"/>
      <c r="D239" s="3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>
      <c r="A240" s="1"/>
      <c r="B240" s="1"/>
      <c r="C240" s="35"/>
      <c r="D240" s="3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>
      <c r="A241" s="1"/>
      <c r="B241" s="1"/>
      <c r="C241" s="35"/>
      <c r="D241" s="3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>
      <c r="A242" s="1"/>
      <c r="B242" s="1"/>
      <c r="C242" s="35"/>
      <c r="D242" s="3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>
      <c r="A243" s="1"/>
      <c r="B243" s="1"/>
      <c r="C243" s="35"/>
      <c r="D243" s="3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>
      <c r="A244" s="1"/>
      <c r="B244" s="1"/>
      <c r="C244" s="35"/>
      <c r="D244" s="3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>
      <c r="A245" s="1"/>
      <c r="B245" s="1"/>
      <c r="C245" s="35"/>
      <c r="D245" s="3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>
      <c r="A246" s="1"/>
      <c r="B246" s="1"/>
      <c r="C246" s="35"/>
      <c r="D246" s="3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>
      <c r="A247" s="1"/>
      <c r="B247" s="1"/>
      <c r="C247" s="35"/>
      <c r="D247" s="3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>
      <c r="A248" s="1"/>
      <c r="B248" s="1"/>
      <c r="C248" s="35"/>
      <c r="D248" s="3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>
      <c r="A249" s="1"/>
      <c r="B249" s="1"/>
      <c r="C249" s="35"/>
      <c r="D249" s="3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>
      <c r="A250" s="1"/>
      <c r="B250" s="1"/>
      <c r="C250" s="35"/>
      <c r="D250" s="3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>
      <c r="A251" s="1"/>
      <c r="B251" s="1"/>
      <c r="C251" s="35"/>
      <c r="D251" s="3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>
      <c r="A252" s="1"/>
      <c r="B252" s="1"/>
      <c r="C252" s="35"/>
      <c r="D252" s="3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>
      <c r="A253" s="1"/>
      <c r="B253" s="1"/>
      <c r="C253" s="35"/>
      <c r="D253" s="3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>
      <c r="A254" s="1"/>
      <c r="B254" s="1"/>
      <c r="C254" s="35"/>
      <c r="D254" s="3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>
      <c r="A255" s="1"/>
      <c r="B255" s="1"/>
      <c r="C255" s="35"/>
      <c r="D255" s="3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>
      <c r="A256" s="1"/>
      <c r="B256" s="1"/>
      <c r="C256" s="35"/>
      <c r="D256" s="3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>
      <c r="A257" s="1"/>
      <c r="B257" s="1"/>
      <c r="C257" s="35"/>
      <c r="D257" s="3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>
      <c r="A258" s="1"/>
      <c r="B258" s="1"/>
      <c r="C258" s="35"/>
      <c r="D258" s="3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>
      <c r="A259" s="1"/>
      <c r="B259" s="1"/>
      <c r="C259" s="35"/>
      <c r="D259" s="3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>
      <c r="A260" s="1"/>
      <c r="B260" s="1"/>
      <c r="C260" s="35"/>
      <c r="D260" s="3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>
      <c r="A261" s="1"/>
      <c r="B261" s="1"/>
      <c r="C261" s="35"/>
      <c r="D261" s="3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>
      <c r="A262" s="1"/>
      <c r="B262" s="1"/>
      <c r="C262" s="35"/>
      <c r="D262" s="3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>
      <c r="A263" s="1"/>
      <c r="B263" s="1"/>
      <c r="C263" s="35"/>
      <c r="D263" s="3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>
      <c r="A264" s="1"/>
      <c r="B264" s="1"/>
      <c r="C264" s="35"/>
      <c r="D264" s="3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>
      <c r="A265" s="1"/>
      <c r="B265" s="1"/>
      <c r="C265" s="35"/>
      <c r="D265" s="3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>
      <c r="A266" s="1"/>
      <c r="B266" s="1"/>
      <c r="C266" s="35"/>
      <c r="D266" s="3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>
      <c r="A267" s="1"/>
      <c r="B267" s="1"/>
      <c r="C267" s="35"/>
      <c r="D267" s="3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>
      <c r="A268" s="1"/>
      <c r="B268" s="1"/>
      <c r="C268" s="35"/>
      <c r="D268" s="3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>
      <c r="A269" s="1"/>
      <c r="B269" s="1"/>
      <c r="C269" s="35"/>
      <c r="D269" s="3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>
      <c r="A270" s="1"/>
      <c r="B270" s="1"/>
      <c r="C270" s="35"/>
      <c r="D270" s="3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>
      <c r="A271" s="1"/>
      <c r="B271" s="1"/>
      <c r="C271" s="35"/>
      <c r="D271" s="3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>
      <c r="A272" s="1"/>
      <c r="B272" s="1"/>
      <c r="C272" s="35"/>
      <c r="D272" s="3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>
      <c r="A273" s="1"/>
      <c r="B273" s="1"/>
      <c r="C273" s="35"/>
      <c r="D273" s="3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>
      <c r="A274" s="1"/>
      <c r="B274" s="1"/>
      <c r="C274" s="35"/>
      <c r="D274" s="3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>
      <c r="A275" s="1"/>
      <c r="B275" s="1"/>
      <c r="C275" s="35"/>
      <c r="D275" s="3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>
      <c r="A276" s="1"/>
      <c r="B276" s="1"/>
      <c r="C276" s="35"/>
      <c r="D276" s="3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>
      <c r="A277" s="1"/>
      <c r="B277" s="1"/>
      <c r="C277" s="35"/>
      <c r="D277" s="3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>
      <c r="A278" s="1"/>
      <c r="B278" s="1"/>
      <c r="C278" s="35"/>
      <c r="D278" s="3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>
      <c r="A279" s="1"/>
      <c r="B279" s="1"/>
      <c r="C279" s="35"/>
      <c r="D279" s="3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>
      <c r="A280" s="1"/>
      <c r="B280" s="1"/>
      <c r="C280" s="35"/>
      <c r="D280" s="3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>
      <c r="A281" s="1"/>
      <c r="B281" s="1"/>
      <c r="C281" s="35"/>
      <c r="D281" s="3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>
      <c r="A282" s="1"/>
      <c r="B282" s="1"/>
      <c r="C282" s="35"/>
      <c r="D282" s="3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>
      <c r="A283" s="1"/>
      <c r="B283" s="1"/>
      <c r="C283" s="35"/>
      <c r="D283" s="3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>
      <c r="A284" s="1"/>
      <c r="B284" s="1"/>
      <c r="C284" s="35"/>
      <c r="D284" s="3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>
      <c r="A285" s="1"/>
      <c r="B285" s="1"/>
      <c r="C285" s="35"/>
      <c r="D285" s="3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>
      <c r="A286" s="1"/>
      <c r="B286" s="1"/>
      <c r="C286" s="35"/>
      <c r="D286" s="3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>
      <c r="A287" s="1"/>
      <c r="B287" s="1"/>
      <c r="C287" s="35"/>
      <c r="D287" s="3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>
      <c r="A288" s="1"/>
      <c r="B288" s="1"/>
      <c r="C288" s="35"/>
      <c r="D288" s="3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>
      <c r="A289" s="1"/>
      <c r="B289" s="1"/>
      <c r="C289" s="35"/>
      <c r="D289" s="3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>
      <c r="A290" s="1"/>
      <c r="B290" s="1"/>
      <c r="C290" s="35"/>
      <c r="D290" s="3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>
      <c r="A291" s="1"/>
      <c r="B291" s="1"/>
      <c r="C291" s="35"/>
      <c r="D291" s="3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>
      <c r="A292" s="1"/>
      <c r="B292" s="1"/>
      <c r="C292" s="35"/>
      <c r="D292" s="3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>
      <c r="A293" s="1"/>
      <c r="B293" s="1"/>
      <c r="C293" s="35"/>
      <c r="D293" s="3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>
      <c r="A294" s="1"/>
      <c r="B294" s="1"/>
      <c r="C294" s="35"/>
      <c r="D294" s="3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>
      <c r="A295" s="1"/>
      <c r="B295" s="1"/>
      <c r="C295" s="35"/>
      <c r="D295" s="3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>
      <c r="A296" s="1"/>
      <c r="B296" s="1"/>
      <c r="C296" s="35"/>
      <c r="D296" s="3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>
      <c r="A297" s="1"/>
      <c r="B297" s="1"/>
      <c r="C297" s="35"/>
      <c r="D297" s="3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>
      <c r="A298" s="1"/>
      <c r="B298" s="1"/>
      <c r="C298" s="35"/>
      <c r="D298" s="3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>
      <c r="A299" s="1"/>
      <c r="B299" s="1"/>
      <c r="C299" s="35"/>
      <c r="D299" s="3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>
      <c r="A300" s="1"/>
      <c r="B300" s="1"/>
      <c r="C300" s="35"/>
      <c r="D300" s="3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>
      <c r="A301" s="1"/>
      <c r="B301" s="1"/>
      <c r="C301" s="35"/>
      <c r="D301" s="3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>
      <c r="A302" s="1"/>
      <c r="B302" s="1"/>
      <c r="C302" s="35"/>
      <c r="D302" s="3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>
      <c r="A303" s="1"/>
      <c r="B303" s="1"/>
      <c r="C303" s="35"/>
      <c r="D303" s="3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>
      <c r="A304" s="1"/>
      <c r="B304" s="1"/>
      <c r="C304" s="35"/>
      <c r="D304" s="3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>
      <c r="A305" s="1"/>
      <c r="B305" s="1"/>
      <c r="C305" s="35"/>
      <c r="D305" s="3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>
      <c r="A306" s="1"/>
      <c r="B306" s="1"/>
      <c r="C306" s="35"/>
      <c r="D306" s="3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>
      <c r="A307" s="1"/>
      <c r="B307" s="1"/>
      <c r="C307" s="35"/>
      <c r="D307" s="3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>
      <c r="A308" s="1"/>
      <c r="B308" s="1"/>
      <c r="C308" s="35"/>
      <c r="D308" s="3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>
      <c r="A309" s="1"/>
      <c r="B309" s="1"/>
      <c r="C309" s="35"/>
      <c r="D309" s="3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>
      <c r="A310" s="1"/>
      <c r="B310" s="1"/>
      <c r="C310" s="35"/>
      <c r="D310" s="3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>
      <c r="A311" s="1"/>
      <c r="B311" s="1"/>
      <c r="C311" s="35"/>
      <c r="D311" s="3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>
      <c r="A312" s="1"/>
      <c r="B312" s="1"/>
      <c r="C312" s="35"/>
      <c r="D312" s="3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>
      <c r="A313" s="1"/>
      <c r="B313" s="1"/>
      <c r="C313" s="35"/>
      <c r="D313" s="3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>
      <c r="A314" s="1"/>
      <c r="B314" s="1"/>
      <c r="C314" s="35"/>
      <c r="D314" s="3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>
      <c r="A315" s="1"/>
      <c r="B315" s="1"/>
      <c r="C315" s="35"/>
      <c r="D315" s="3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>
      <c r="A316" s="1"/>
      <c r="B316" s="1"/>
      <c r="C316" s="35"/>
      <c r="D316" s="3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>
      <c r="A317" s="1"/>
      <c r="B317" s="1"/>
      <c r="C317" s="35"/>
      <c r="D317" s="3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>
      <c r="A318" s="1"/>
      <c r="B318" s="1"/>
      <c r="C318" s="35"/>
      <c r="D318" s="3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>
      <c r="A319" s="1"/>
      <c r="B319" s="1"/>
      <c r="C319" s="35"/>
      <c r="D319" s="3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>
      <c r="A320" s="1"/>
      <c r="B320" s="1"/>
      <c r="C320" s="35"/>
      <c r="D320" s="3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>
      <c r="A321" s="1"/>
      <c r="B321" s="1"/>
      <c r="C321" s="35"/>
      <c r="D321" s="3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>
      <c r="A322" s="1"/>
      <c r="B322" s="1"/>
      <c r="C322" s="35"/>
      <c r="D322" s="3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>
      <c r="A323" s="1"/>
      <c r="B323" s="1"/>
      <c r="C323" s="35"/>
      <c r="D323" s="3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>
      <c r="A324" s="1"/>
      <c r="B324" s="1"/>
      <c r="C324" s="35"/>
      <c r="D324" s="3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>
      <c r="A325" s="1"/>
      <c r="B325" s="1"/>
      <c r="C325" s="35"/>
      <c r="D325" s="3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>
      <c r="A326" s="1"/>
      <c r="B326" s="1"/>
      <c r="C326" s="35"/>
      <c r="D326" s="3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>
      <c r="A327" s="1"/>
      <c r="B327" s="1"/>
      <c r="C327" s="35"/>
      <c r="D327" s="3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>
      <c r="A328" s="1"/>
      <c r="B328" s="1"/>
      <c r="C328" s="35"/>
      <c r="D328" s="3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>
      <c r="A329" s="1"/>
      <c r="B329" s="1"/>
      <c r="C329" s="35"/>
      <c r="D329" s="3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>
      <c r="A330" s="1"/>
      <c r="B330" s="1"/>
      <c r="C330" s="35"/>
      <c r="D330" s="3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>
      <c r="A331" s="1"/>
      <c r="B331" s="1"/>
      <c r="C331" s="35"/>
      <c r="D331" s="3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>
      <c r="A332" s="1"/>
      <c r="B332" s="1"/>
      <c r="C332" s="35"/>
      <c r="D332" s="3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>
      <c r="A333" s="1"/>
      <c r="B333" s="1"/>
      <c r="C333" s="35"/>
      <c r="D333" s="3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>
      <c r="A334" s="1"/>
      <c r="B334" s="1"/>
      <c r="C334" s="35"/>
      <c r="D334" s="3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>
      <c r="A335" s="1"/>
      <c r="B335" s="1"/>
      <c r="C335" s="35"/>
      <c r="D335" s="3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>
      <c r="A336" s="1"/>
      <c r="B336" s="1"/>
      <c r="C336" s="35"/>
      <c r="D336" s="3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>
      <c r="A337" s="1"/>
      <c r="B337" s="1"/>
      <c r="C337" s="35"/>
      <c r="D337" s="3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>
      <c r="A338" s="1"/>
      <c r="B338" s="1"/>
      <c r="C338" s="35"/>
      <c r="D338" s="3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>
      <c r="A339" s="1"/>
      <c r="B339" s="1"/>
      <c r="C339" s="35"/>
      <c r="D339" s="3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>
      <c r="A340" s="1"/>
      <c r="B340" s="1"/>
      <c r="C340" s="35"/>
      <c r="D340" s="3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>
      <c r="A341" s="1"/>
      <c r="B341" s="1"/>
      <c r="C341" s="35"/>
      <c r="D341" s="3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>
      <c r="A342" s="1"/>
      <c r="B342" s="1"/>
      <c r="C342" s="35"/>
      <c r="D342" s="3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>
      <c r="A343" s="1"/>
      <c r="B343" s="1"/>
      <c r="C343" s="35"/>
      <c r="D343" s="3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>
      <c r="A344" s="1"/>
      <c r="B344" s="1"/>
      <c r="C344" s="35"/>
      <c r="D344" s="3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>
      <c r="A345" s="1"/>
      <c r="B345" s="1"/>
      <c r="C345" s="35"/>
      <c r="D345" s="3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>
      <c r="A346" s="1"/>
      <c r="B346" s="1"/>
      <c r="C346" s="35"/>
      <c r="D346" s="3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>
      <c r="A347" s="1"/>
      <c r="B347" s="1"/>
      <c r="C347" s="35"/>
      <c r="D347" s="3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>
      <c r="A348" s="1"/>
      <c r="B348" s="1"/>
      <c r="C348" s="35"/>
      <c r="D348" s="3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>
      <c r="A349" s="1"/>
      <c r="B349" s="1"/>
      <c r="C349" s="35"/>
      <c r="D349" s="3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>
      <c r="A350" s="1"/>
      <c r="B350" s="1"/>
      <c r="C350" s="35"/>
      <c r="D350" s="3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>
      <c r="A351" s="1"/>
      <c r="B351" s="1"/>
      <c r="C351" s="35"/>
      <c r="D351" s="3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>
      <c r="A352" s="1"/>
      <c r="B352" s="1"/>
      <c r="C352" s="35"/>
      <c r="D352" s="3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>
      <c r="A353" s="1"/>
      <c r="B353" s="1"/>
      <c r="C353" s="35"/>
      <c r="D353" s="3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>
      <c r="A354" s="1"/>
      <c r="B354" s="1"/>
      <c r="C354" s="35"/>
      <c r="D354" s="3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>
      <c r="A355" s="1"/>
      <c r="B355" s="1"/>
      <c r="C355" s="35"/>
      <c r="D355" s="3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>
      <c r="A356" s="1"/>
      <c r="B356" s="1"/>
      <c r="C356" s="35"/>
      <c r="D356" s="3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>
      <c r="A357" s="1"/>
      <c r="B357" s="1"/>
      <c r="C357" s="35"/>
      <c r="D357" s="3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>
      <c r="A358" s="1"/>
      <c r="B358" s="1"/>
      <c r="C358" s="35"/>
      <c r="D358" s="3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>
      <c r="A359" s="1"/>
      <c r="B359" s="1"/>
      <c r="C359" s="35"/>
      <c r="D359" s="3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>
      <c r="A360" s="1"/>
      <c r="B360" s="1"/>
      <c r="C360" s="35"/>
      <c r="D360" s="3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>
      <c r="A361" s="1"/>
      <c r="B361" s="1"/>
      <c r="C361" s="35"/>
      <c r="D361" s="3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>
      <c r="A362" s="1"/>
      <c r="B362" s="1"/>
      <c r="C362" s="35"/>
      <c r="D362" s="3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>
      <c r="A363" s="1"/>
      <c r="B363" s="1"/>
      <c r="C363" s="35"/>
      <c r="D363" s="3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>
      <c r="A364" s="1"/>
      <c r="B364" s="1"/>
      <c r="C364" s="35"/>
      <c r="D364" s="3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>
      <c r="A365" s="1"/>
      <c r="B365" s="1"/>
      <c r="C365" s="35"/>
      <c r="D365" s="3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>
      <c r="A366" s="1"/>
      <c r="B366" s="1"/>
      <c r="C366" s="35"/>
      <c r="D366" s="3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>
      <c r="A367" s="1"/>
      <c r="B367" s="1"/>
      <c r="C367" s="35"/>
      <c r="D367" s="3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>
      <c r="A368" s="1"/>
      <c r="B368" s="1"/>
      <c r="C368" s="35"/>
      <c r="D368" s="3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>
      <c r="A369" s="1"/>
      <c r="B369" s="1"/>
      <c r="C369" s="35"/>
      <c r="D369" s="3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>
      <c r="A370" s="1"/>
      <c r="B370" s="1"/>
      <c r="C370" s="35"/>
      <c r="D370" s="3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>
      <c r="A371" s="1"/>
      <c r="B371" s="1"/>
      <c r="C371" s="35"/>
      <c r="D371" s="3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>
      <c r="A372" s="1"/>
      <c r="B372" s="1"/>
      <c r="C372" s="35"/>
      <c r="D372" s="3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>
      <c r="A373" s="1"/>
      <c r="B373" s="1"/>
      <c r="C373" s="35"/>
      <c r="D373" s="3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>
      <c r="A374" s="1"/>
      <c r="B374" s="1"/>
      <c r="C374" s="35"/>
      <c r="D374" s="3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>
      <c r="A375" s="1"/>
      <c r="B375" s="1"/>
      <c r="C375" s="35"/>
      <c r="D375" s="3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>
      <c r="A376" s="1"/>
      <c r="B376" s="1"/>
      <c r="C376" s="35"/>
      <c r="D376" s="3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>
      <c r="A377" s="1"/>
      <c r="B377" s="1"/>
      <c r="C377" s="35"/>
      <c r="D377" s="3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>
      <c r="A378" s="1"/>
      <c r="B378" s="1"/>
      <c r="C378" s="35"/>
      <c r="D378" s="3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>
      <c r="A379" s="1"/>
      <c r="B379" s="1"/>
      <c r="C379" s="35"/>
      <c r="D379" s="3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>
      <c r="A380" s="1"/>
      <c r="B380" s="1"/>
      <c r="C380" s="35"/>
      <c r="D380" s="3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>
      <c r="A381" s="1"/>
      <c r="B381" s="1"/>
      <c r="C381" s="35"/>
      <c r="D381" s="3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>
      <c r="A382" s="1"/>
      <c r="B382" s="1"/>
      <c r="C382" s="35"/>
      <c r="D382" s="3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>
      <c r="A383" s="1"/>
      <c r="B383" s="1"/>
      <c r="C383" s="35"/>
      <c r="D383" s="3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>
      <c r="A384" s="1"/>
      <c r="B384" s="1"/>
      <c r="C384" s="35"/>
      <c r="D384" s="3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>
      <c r="A385" s="1"/>
      <c r="B385" s="1"/>
      <c r="C385" s="35"/>
      <c r="D385" s="3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>
      <c r="A386" s="1"/>
      <c r="B386" s="1"/>
      <c r="C386" s="35"/>
      <c r="D386" s="3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>
      <c r="A387" s="1"/>
      <c r="B387" s="1"/>
      <c r="C387" s="35"/>
      <c r="D387" s="3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>
      <c r="A388" s="1"/>
      <c r="B388" s="1"/>
      <c r="C388" s="35"/>
      <c r="D388" s="3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>
      <c r="A389" s="1"/>
      <c r="B389" s="1"/>
      <c r="C389" s="35"/>
      <c r="D389" s="3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>
      <c r="A390" s="1"/>
      <c r="B390" s="1"/>
      <c r="C390" s="35"/>
      <c r="D390" s="3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>
      <c r="A391" s="1"/>
      <c r="B391" s="1"/>
      <c r="C391" s="35"/>
      <c r="D391" s="3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>
      <c r="A392" s="1"/>
      <c r="B392" s="1"/>
      <c r="C392" s="35"/>
      <c r="D392" s="3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>
      <c r="A393" s="1"/>
      <c r="B393" s="1"/>
      <c r="C393" s="35"/>
      <c r="D393" s="3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>
      <c r="A394" s="1"/>
      <c r="B394" s="1"/>
      <c r="C394" s="35"/>
      <c r="D394" s="3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>
      <c r="A395" s="1"/>
      <c r="B395" s="1"/>
      <c r="C395" s="35"/>
      <c r="D395" s="3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>
      <c r="A396" s="1"/>
      <c r="B396" s="1"/>
      <c r="C396" s="35"/>
      <c r="D396" s="3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>
      <c r="A397" s="1"/>
      <c r="B397" s="1"/>
      <c r="C397" s="35"/>
      <c r="D397" s="3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>
      <c r="A398" s="1"/>
      <c r="B398" s="1"/>
      <c r="C398" s="35"/>
      <c r="D398" s="3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>
      <c r="A399" s="1"/>
      <c r="B399" s="1"/>
      <c r="C399" s="35"/>
      <c r="D399" s="3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>
      <c r="A400" s="1"/>
      <c r="B400" s="1"/>
      <c r="C400" s="35"/>
      <c r="D400" s="3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>
      <c r="A401" s="1"/>
      <c r="B401" s="1"/>
      <c r="C401" s="35"/>
      <c r="D401" s="3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>
      <c r="A402" s="1"/>
      <c r="B402" s="1"/>
      <c r="C402" s="35"/>
      <c r="D402" s="3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>
      <c r="A403" s="1"/>
      <c r="B403" s="1"/>
      <c r="C403" s="35"/>
      <c r="D403" s="3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>
      <c r="A404" s="1"/>
      <c r="B404" s="1"/>
      <c r="C404" s="35"/>
      <c r="D404" s="3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>
      <c r="A405" s="1"/>
      <c r="B405" s="1"/>
      <c r="C405" s="35"/>
      <c r="D405" s="3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>
      <c r="A406" s="1"/>
      <c r="B406" s="1"/>
      <c r="C406" s="35"/>
      <c r="D406" s="3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>
      <c r="A407" s="1"/>
      <c r="B407" s="1"/>
      <c r="C407" s="35"/>
      <c r="D407" s="3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>
      <c r="A408" s="1"/>
      <c r="B408" s="1"/>
      <c r="C408" s="35"/>
      <c r="D408" s="3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>
      <c r="A409" s="1"/>
      <c r="B409" s="1"/>
      <c r="C409" s="35"/>
      <c r="D409" s="3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>
      <c r="A410" s="1"/>
      <c r="B410" s="1"/>
      <c r="C410" s="35"/>
      <c r="D410" s="3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>
      <c r="A411" s="1"/>
      <c r="B411" s="1"/>
      <c r="C411" s="35"/>
      <c r="D411" s="3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>
      <c r="A412" s="1"/>
      <c r="B412" s="1"/>
      <c r="C412" s="35"/>
      <c r="D412" s="3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>
      <c r="A413" s="1"/>
      <c r="B413" s="1"/>
      <c r="C413" s="35"/>
      <c r="D413" s="3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>
      <c r="A414" s="1"/>
      <c r="B414" s="1"/>
      <c r="C414" s="35"/>
      <c r="D414" s="3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>
      <c r="A415" s="1"/>
      <c r="B415" s="1"/>
      <c r="C415" s="35"/>
      <c r="D415" s="3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>
      <c r="A416" s="1"/>
      <c r="B416" s="1"/>
      <c r="C416" s="35"/>
      <c r="D416" s="3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>
      <c r="A417" s="1"/>
      <c r="B417" s="1"/>
      <c r="C417" s="35"/>
      <c r="D417" s="3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>
      <c r="A418" s="1"/>
      <c r="B418" s="1"/>
      <c r="C418" s="35"/>
      <c r="D418" s="3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>
      <c r="A419" s="1"/>
      <c r="B419" s="1"/>
      <c r="C419" s="35"/>
      <c r="D419" s="3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>
      <c r="A420" s="1"/>
      <c r="B420" s="1"/>
      <c r="C420" s="35"/>
      <c r="D420" s="3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>
      <c r="A421" s="1"/>
      <c r="B421" s="1"/>
      <c r="C421" s="35"/>
      <c r="D421" s="3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>
      <c r="A422" s="1"/>
      <c r="B422" s="1"/>
      <c r="C422" s="35"/>
      <c r="D422" s="3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>
      <c r="A423" s="1"/>
      <c r="B423" s="1"/>
      <c r="C423" s="35"/>
      <c r="D423" s="3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>
      <c r="A424" s="1"/>
      <c r="B424" s="1"/>
      <c r="C424" s="35"/>
      <c r="D424" s="3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>
      <c r="A425" s="1"/>
      <c r="B425" s="1"/>
      <c r="C425" s="35"/>
      <c r="D425" s="3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>
      <c r="A426" s="1"/>
      <c r="B426" s="1"/>
      <c r="C426" s="35"/>
      <c r="D426" s="3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>
      <c r="A427" s="1"/>
      <c r="B427" s="1"/>
      <c r="C427" s="35"/>
      <c r="D427" s="3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>
      <c r="A428" s="1"/>
      <c r="B428" s="1"/>
      <c r="C428" s="35"/>
      <c r="D428" s="3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>
      <c r="A429" s="1"/>
      <c r="B429" s="1"/>
      <c r="C429" s="35"/>
      <c r="D429" s="3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>
      <c r="A430" s="1"/>
      <c r="B430" s="1"/>
      <c r="C430" s="35"/>
      <c r="D430" s="3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>
      <c r="A431" s="1"/>
      <c r="B431" s="1"/>
      <c r="C431" s="35"/>
      <c r="D431" s="3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>
      <c r="A432" s="1"/>
      <c r="B432" s="1"/>
      <c r="C432" s="35"/>
      <c r="D432" s="3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>
      <c r="A433" s="1"/>
      <c r="B433" s="1"/>
      <c r="C433" s="35"/>
      <c r="D433" s="3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>
      <c r="A434" s="1"/>
      <c r="B434" s="1"/>
      <c r="C434" s="35"/>
      <c r="D434" s="3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>
      <c r="A435" s="1"/>
      <c r="B435" s="1"/>
      <c r="C435" s="35"/>
      <c r="D435" s="3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>
      <c r="A436" s="1"/>
      <c r="B436" s="1"/>
      <c r="C436" s="35"/>
      <c r="D436" s="3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>
      <c r="A437" s="1"/>
      <c r="B437" s="1"/>
      <c r="C437" s="35"/>
      <c r="D437" s="3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>
      <c r="A438" s="1"/>
      <c r="B438" s="1"/>
      <c r="C438" s="35"/>
      <c r="D438" s="3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>
      <c r="A439" s="1"/>
      <c r="B439" s="1"/>
      <c r="C439" s="35"/>
      <c r="D439" s="3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>
      <c r="A440" s="1"/>
      <c r="B440" s="1"/>
      <c r="C440" s="35"/>
      <c r="D440" s="3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>
      <c r="A441" s="1"/>
      <c r="B441" s="1"/>
      <c r="C441" s="35"/>
      <c r="D441" s="3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>
      <c r="A442" s="1"/>
      <c r="B442" s="1"/>
      <c r="C442" s="35"/>
      <c r="D442" s="3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>
      <c r="A443" s="1"/>
      <c r="B443" s="1"/>
      <c r="C443" s="35"/>
      <c r="D443" s="3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>
      <c r="A444" s="1"/>
      <c r="B444" s="1"/>
      <c r="C444" s="35"/>
      <c r="D444" s="3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>
      <c r="A445" s="1"/>
      <c r="B445" s="1"/>
      <c r="C445" s="35"/>
      <c r="D445" s="3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>
      <c r="A446" s="1"/>
      <c r="B446" s="1"/>
      <c r="C446" s="35"/>
      <c r="D446" s="3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>
      <c r="A447" s="1"/>
      <c r="B447" s="1"/>
      <c r="C447" s="35"/>
      <c r="D447" s="3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>
      <c r="A448" s="1"/>
      <c r="B448" s="1"/>
      <c r="C448" s="35"/>
      <c r="D448" s="3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>
      <c r="A449" s="1"/>
      <c r="B449" s="1"/>
      <c r="C449" s="35"/>
      <c r="D449" s="3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>
      <c r="A450" s="1"/>
      <c r="B450" s="1"/>
      <c r="C450" s="35"/>
      <c r="D450" s="3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>
      <c r="A451" s="1"/>
      <c r="B451" s="1"/>
      <c r="C451" s="35"/>
      <c r="D451" s="3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>
      <c r="A452" s="1"/>
      <c r="B452" s="1"/>
      <c r="C452" s="35"/>
      <c r="D452" s="3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>
      <c r="A453" s="1"/>
      <c r="B453" s="1"/>
      <c r="C453" s="35"/>
      <c r="D453" s="3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>
      <c r="A454" s="1"/>
      <c r="B454" s="1"/>
      <c r="C454" s="35"/>
      <c r="D454" s="3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>
      <c r="A455" s="1"/>
      <c r="B455" s="1"/>
      <c r="C455" s="35"/>
      <c r="D455" s="3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>
      <c r="A456" s="1"/>
      <c r="B456" s="1"/>
      <c r="C456" s="35"/>
      <c r="D456" s="3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>
      <c r="A457" s="1"/>
      <c r="B457" s="1"/>
      <c r="C457" s="35"/>
      <c r="D457" s="3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>
      <c r="A458" s="1"/>
      <c r="B458" s="1"/>
      <c r="C458" s="35"/>
      <c r="D458" s="3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>
      <c r="A459" s="1"/>
      <c r="B459" s="1"/>
      <c r="C459" s="35"/>
      <c r="D459" s="3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>
      <c r="A460" s="1"/>
      <c r="B460" s="1"/>
      <c r="C460" s="35"/>
      <c r="D460" s="3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>
      <c r="A461" s="1"/>
      <c r="B461" s="1"/>
      <c r="C461" s="35"/>
      <c r="D461" s="3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>
      <c r="A462" s="1"/>
      <c r="B462" s="1"/>
      <c r="C462" s="35"/>
      <c r="D462" s="3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>
      <c r="A463" s="1"/>
      <c r="B463" s="1"/>
      <c r="C463" s="35"/>
      <c r="D463" s="3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>
      <c r="A464" s="1"/>
      <c r="B464" s="1"/>
      <c r="C464" s="35"/>
      <c r="D464" s="3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>
      <c r="A465" s="1"/>
      <c r="B465" s="1"/>
      <c r="C465" s="35"/>
      <c r="D465" s="3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>
      <c r="A466" s="1"/>
      <c r="B466" s="1"/>
      <c r="C466" s="35"/>
      <c r="D466" s="3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>
      <c r="A467" s="1"/>
      <c r="B467" s="1"/>
      <c r="C467" s="35"/>
      <c r="D467" s="3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>
      <c r="A468" s="1"/>
      <c r="B468" s="1"/>
      <c r="C468" s="35"/>
      <c r="D468" s="3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>
      <c r="A469" s="1"/>
      <c r="B469" s="1"/>
      <c r="C469" s="35"/>
      <c r="D469" s="3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>
      <c r="A470" s="1"/>
      <c r="B470" s="1"/>
      <c r="C470" s="35"/>
      <c r="D470" s="3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>
      <c r="A471" s="1"/>
      <c r="B471" s="1"/>
      <c r="C471" s="35"/>
      <c r="D471" s="3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>
      <c r="A472" s="1"/>
      <c r="B472" s="1"/>
      <c r="C472" s="35"/>
      <c r="D472" s="3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>
      <c r="A473" s="1"/>
      <c r="B473" s="1"/>
      <c r="C473" s="35"/>
      <c r="D473" s="3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>
      <c r="A474" s="1"/>
      <c r="B474" s="1"/>
      <c r="C474" s="35"/>
      <c r="D474" s="3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>
      <c r="A475" s="1"/>
      <c r="B475" s="1"/>
      <c r="C475" s="35"/>
      <c r="D475" s="3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>
      <c r="A476" s="1"/>
      <c r="B476" s="1"/>
      <c r="C476" s="35"/>
      <c r="D476" s="3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>
      <c r="A477" s="1"/>
      <c r="B477" s="1"/>
      <c r="C477" s="35"/>
      <c r="D477" s="3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>
      <c r="A478" s="1"/>
      <c r="B478" s="1"/>
      <c r="C478" s="35"/>
      <c r="D478" s="3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>
      <c r="A479" s="1"/>
      <c r="B479" s="1"/>
      <c r="C479" s="35"/>
      <c r="D479" s="3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>
      <c r="A480" s="1"/>
      <c r="B480" s="1"/>
      <c r="C480" s="35"/>
      <c r="D480" s="3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>
      <c r="A481" s="1"/>
      <c r="B481" s="1"/>
      <c r="C481" s="35"/>
      <c r="D481" s="3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>
      <c r="A482" s="1"/>
      <c r="B482" s="1"/>
      <c r="C482" s="35"/>
      <c r="D482" s="3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>
      <c r="A483" s="1"/>
      <c r="B483" s="1"/>
      <c r="C483" s="35"/>
      <c r="D483" s="3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>
      <c r="A484" s="1"/>
      <c r="B484" s="1"/>
      <c r="C484" s="35"/>
      <c r="D484" s="3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>
      <c r="A485" s="1"/>
      <c r="B485" s="1"/>
      <c r="C485" s="35"/>
      <c r="D485" s="3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>
      <c r="A486" s="1"/>
      <c r="B486" s="1"/>
      <c r="C486" s="35"/>
      <c r="D486" s="3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>
      <c r="A487" s="1"/>
      <c r="B487" s="1"/>
      <c r="C487" s="35"/>
      <c r="D487" s="3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>
      <c r="A488" s="1"/>
      <c r="B488" s="1"/>
      <c r="C488" s="35"/>
      <c r="D488" s="3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>
      <c r="A489" s="1"/>
      <c r="B489" s="1"/>
      <c r="C489" s="35"/>
      <c r="D489" s="3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>
      <c r="A490" s="1"/>
      <c r="B490" s="1"/>
      <c r="C490" s="35"/>
      <c r="D490" s="3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>
      <c r="A491" s="1"/>
      <c r="B491" s="1"/>
      <c r="C491" s="35"/>
      <c r="D491" s="3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>
      <c r="A492" s="1"/>
      <c r="B492" s="1"/>
      <c r="C492" s="35"/>
      <c r="D492" s="3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>
      <c r="A493" s="1"/>
      <c r="B493" s="1"/>
      <c r="C493" s="35"/>
      <c r="D493" s="3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>
      <c r="A494" s="1"/>
      <c r="B494" s="1"/>
      <c r="C494" s="35"/>
      <c r="D494" s="3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>
      <c r="A495" s="1"/>
      <c r="B495" s="1"/>
      <c r="C495" s="35"/>
      <c r="D495" s="3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>
      <c r="A496" s="1"/>
      <c r="B496" s="1"/>
      <c r="C496" s="35"/>
      <c r="D496" s="3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>
      <c r="A497" s="1"/>
      <c r="B497" s="1"/>
      <c r="C497" s="35"/>
      <c r="D497" s="3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>
      <c r="A498" s="1"/>
      <c r="B498" s="1"/>
      <c r="C498" s="35"/>
      <c r="D498" s="3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>
      <c r="A499" s="1"/>
      <c r="B499" s="1"/>
      <c r="C499" s="35"/>
      <c r="D499" s="3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>
      <c r="A500" s="1"/>
      <c r="B500" s="1"/>
      <c r="C500" s="35"/>
      <c r="D500" s="3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>
      <c r="A501" s="1"/>
      <c r="B501" s="1"/>
      <c r="C501" s="35"/>
      <c r="D501" s="3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>
      <c r="A502" s="1"/>
      <c r="B502" s="1"/>
      <c r="C502" s="35"/>
      <c r="D502" s="3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>
      <c r="A503" s="1"/>
      <c r="B503" s="1"/>
      <c r="C503" s="35"/>
      <c r="D503" s="3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>
      <c r="A504" s="1"/>
      <c r="B504" s="1"/>
      <c r="C504" s="35"/>
      <c r="D504" s="3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>
      <c r="A505" s="1"/>
      <c r="B505" s="1"/>
      <c r="C505" s="35"/>
      <c r="D505" s="3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>
      <c r="A506" s="1"/>
      <c r="B506" s="1"/>
      <c r="C506" s="35"/>
      <c r="D506" s="3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>
      <c r="A507" s="1"/>
      <c r="B507" s="1"/>
      <c r="C507" s="35"/>
      <c r="D507" s="3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>
      <c r="A508" s="1"/>
      <c r="B508" s="1"/>
      <c r="C508" s="35"/>
      <c r="D508" s="3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>
      <c r="A509" s="1"/>
      <c r="B509" s="1"/>
      <c r="C509" s="35"/>
      <c r="D509" s="3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>
      <c r="A510" s="1"/>
      <c r="B510" s="1"/>
      <c r="C510" s="35"/>
      <c r="D510" s="3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>
      <c r="A511" s="1"/>
      <c r="B511" s="1"/>
      <c r="C511" s="35"/>
      <c r="D511" s="3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>
      <c r="A512" s="1"/>
      <c r="B512" s="1"/>
      <c r="C512" s="35"/>
      <c r="D512" s="3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>
      <c r="A513" s="1"/>
      <c r="B513" s="1"/>
      <c r="C513" s="35"/>
      <c r="D513" s="3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>
      <c r="A514" s="1"/>
      <c r="B514" s="1"/>
      <c r="C514" s="35"/>
      <c r="D514" s="3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>
      <c r="A515" s="1"/>
      <c r="B515" s="1"/>
      <c r="C515" s="35"/>
      <c r="D515" s="3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>
      <c r="A516" s="1"/>
      <c r="B516" s="1"/>
      <c r="C516" s="35"/>
      <c r="D516" s="3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>
      <c r="A517" s="1"/>
      <c r="B517" s="1"/>
      <c r="C517" s="35"/>
      <c r="D517" s="3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>
      <c r="A518" s="1"/>
      <c r="B518" s="1"/>
      <c r="C518" s="35"/>
      <c r="D518" s="3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>
      <c r="A519" s="1"/>
      <c r="B519" s="1"/>
      <c r="C519" s="35"/>
      <c r="D519" s="3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>
      <c r="A520" s="1"/>
      <c r="B520" s="1"/>
      <c r="C520" s="35"/>
      <c r="D520" s="3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>
      <c r="A521" s="1"/>
      <c r="B521" s="1"/>
      <c r="C521" s="35"/>
      <c r="D521" s="3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>
      <c r="A522" s="1"/>
      <c r="B522" s="1"/>
      <c r="C522" s="35"/>
      <c r="D522" s="3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>
      <c r="A523" s="1"/>
      <c r="B523" s="1"/>
      <c r="C523" s="35"/>
      <c r="D523" s="3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>
      <c r="A524" s="1"/>
      <c r="B524" s="1"/>
      <c r="C524" s="35"/>
      <c r="D524" s="3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>
      <c r="A525" s="1"/>
      <c r="B525" s="1"/>
      <c r="C525" s="35"/>
      <c r="D525" s="3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>
      <c r="A526" s="1"/>
      <c r="B526" s="1"/>
      <c r="C526" s="35"/>
      <c r="D526" s="3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>
      <c r="A527" s="1"/>
      <c r="B527" s="1"/>
      <c r="C527" s="35"/>
      <c r="D527" s="3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>
      <c r="A528" s="1"/>
      <c r="B528" s="1"/>
      <c r="C528" s="35"/>
      <c r="D528" s="3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>
      <c r="A529" s="1"/>
      <c r="B529" s="1"/>
      <c r="C529" s="35"/>
      <c r="D529" s="3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>
      <c r="A530" s="1"/>
      <c r="B530" s="1"/>
      <c r="C530" s="35"/>
      <c r="D530" s="3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>
      <c r="A531" s="1"/>
      <c r="B531" s="1"/>
      <c r="C531" s="35"/>
      <c r="D531" s="3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>
      <c r="A532" s="1"/>
      <c r="B532" s="1"/>
      <c r="C532" s="35"/>
      <c r="D532" s="3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>
      <c r="A533" s="1"/>
      <c r="B533" s="1"/>
      <c r="C533" s="35"/>
      <c r="D533" s="3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>
      <c r="A534" s="1"/>
      <c r="B534" s="1"/>
      <c r="C534" s="35"/>
      <c r="D534" s="3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>
      <c r="A535" s="1"/>
      <c r="B535" s="1"/>
      <c r="C535" s="35"/>
      <c r="D535" s="3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>
      <c r="A536" s="1"/>
      <c r="B536" s="1"/>
      <c r="C536" s="35"/>
      <c r="D536" s="3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>
      <c r="A537" s="1"/>
      <c r="B537" s="1"/>
      <c r="C537" s="35"/>
      <c r="D537" s="3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>
      <c r="A538" s="1"/>
      <c r="B538" s="1"/>
      <c r="C538" s="35"/>
      <c r="D538" s="3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>
      <c r="A539" s="1"/>
      <c r="B539" s="1"/>
      <c r="C539" s="35"/>
      <c r="D539" s="3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>
      <c r="A540" s="1"/>
      <c r="B540" s="1"/>
      <c r="C540" s="35"/>
      <c r="D540" s="3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>
      <c r="A541" s="1"/>
      <c r="B541" s="1"/>
      <c r="C541" s="35"/>
      <c r="D541" s="3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>
      <c r="A542" s="1"/>
      <c r="B542" s="1"/>
      <c r="C542" s="35"/>
      <c r="D542" s="3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>
      <c r="A543" s="1"/>
      <c r="B543" s="1"/>
      <c r="C543" s="35"/>
      <c r="D543" s="3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>
      <c r="A544" s="1"/>
      <c r="B544" s="1"/>
      <c r="C544" s="35"/>
      <c r="D544" s="3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>
      <c r="A545" s="1"/>
      <c r="B545" s="1"/>
      <c r="C545" s="35"/>
      <c r="D545" s="3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>
      <c r="A546" s="1"/>
      <c r="B546" s="1"/>
      <c r="C546" s="35"/>
      <c r="D546" s="3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>
      <c r="A547" s="1"/>
      <c r="B547" s="1"/>
      <c r="C547" s="35"/>
      <c r="D547" s="3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>
      <c r="A548" s="1"/>
      <c r="B548" s="1"/>
      <c r="C548" s="35"/>
      <c r="D548" s="3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>
      <c r="A549" s="1"/>
      <c r="B549" s="1"/>
      <c r="C549" s="35"/>
      <c r="D549" s="3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>
      <c r="A550" s="1"/>
      <c r="B550" s="1"/>
      <c r="C550" s="35"/>
      <c r="D550" s="3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>
      <c r="A551" s="1"/>
      <c r="B551" s="1"/>
      <c r="C551" s="35"/>
      <c r="D551" s="3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>
      <c r="A552" s="1"/>
      <c r="B552" s="1"/>
      <c r="C552" s="35"/>
      <c r="D552" s="3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>
      <c r="A553" s="1"/>
      <c r="B553" s="1"/>
      <c r="C553" s="35"/>
      <c r="D553" s="3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>
      <c r="A554" s="1"/>
      <c r="B554" s="1"/>
      <c r="C554" s="35"/>
      <c r="D554" s="3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>
      <c r="A555" s="1"/>
      <c r="B555" s="1"/>
      <c r="C555" s="35"/>
      <c r="D555" s="3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>
      <c r="A556" s="1"/>
      <c r="B556" s="1"/>
      <c r="C556" s="35"/>
      <c r="D556" s="3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>
      <c r="A557" s="1"/>
      <c r="B557" s="1"/>
      <c r="C557" s="35"/>
      <c r="D557" s="3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>
      <c r="A558" s="1"/>
      <c r="B558" s="1"/>
      <c r="C558" s="35"/>
      <c r="D558" s="3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>
      <c r="A559" s="1"/>
      <c r="B559" s="1"/>
      <c r="C559" s="35"/>
      <c r="D559" s="3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>
      <c r="A560" s="1"/>
      <c r="B560" s="1"/>
      <c r="C560" s="35"/>
      <c r="D560" s="3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>
      <c r="A561" s="1"/>
      <c r="B561" s="1"/>
      <c r="C561" s="35"/>
      <c r="D561" s="3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>
      <c r="A562" s="1"/>
      <c r="B562" s="1"/>
      <c r="C562" s="35"/>
      <c r="D562" s="3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>
      <c r="A563" s="1"/>
      <c r="B563" s="1"/>
      <c r="C563" s="35"/>
      <c r="D563" s="3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>
      <c r="A564" s="1"/>
      <c r="B564" s="1"/>
      <c r="C564" s="35"/>
      <c r="D564" s="3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>
      <c r="A565" s="1"/>
      <c r="B565" s="1"/>
      <c r="C565" s="35"/>
      <c r="D565" s="3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>
      <c r="A566" s="1"/>
      <c r="B566" s="1"/>
      <c r="C566" s="35"/>
      <c r="D566" s="3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>
      <c r="A567" s="1"/>
      <c r="B567" s="1"/>
      <c r="C567" s="35"/>
      <c r="D567" s="3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>
      <c r="A568" s="1"/>
      <c r="B568" s="1"/>
      <c r="C568" s="35"/>
      <c r="D568" s="3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>
      <c r="A569" s="1"/>
      <c r="B569" s="1"/>
      <c r="C569" s="35"/>
      <c r="D569" s="3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>
      <c r="A570" s="1"/>
      <c r="B570" s="1"/>
      <c r="C570" s="35"/>
      <c r="D570" s="3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>
      <c r="A571" s="1"/>
      <c r="B571" s="1"/>
      <c r="C571" s="35"/>
      <c r="D571" s="3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>
      <c r="A572" s="1"/>
      <c r="B572" s="1"/>
      <c r="C572" s="35"/>
      <c r="D572" s="3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>
      <c r="A573" s="1"/>
      <c r="B573" s="1"/>
      <c r="C573" s="35"/>
      <c r="D573" s="3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>
      <c r="A574" s="1"/>
      <c r="B574" s="1"/>
      <c r="C574" s="35"/>
      <c r="D574" s="3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>
      <c r="A575" s="1"/>
      <c r="B575" s="1"/>
      <c r="C575" s="35"/>
      <c r="D575" s="3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>
      <c r="A576" s="1"/>
      <c r="B576" s="1"/>
      <c r="C576" s="35"/>
      <c r="D576" s="3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>
      <c r="A577" s="1"/>
      <c r="B577" s="1"/>
      <c r="C577" s="35"/>
      <c r="D577" s="3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>
      <c r="A578" s="1"/>
      <c r="B578" s="1"/>
      <c r="C578" s="35"/>
      <c r="D578" s="3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>
      <c r="A579" s="1"/>
      <c r="B579" s="1"/>
      <c r="C579" s="35"/>
      <c r="D579" s="3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>
      <c r="A580" s="1"/>
      <c r="B580" s="1"/>
      <c r="C580" s="35"/>
      <c r="D580" s="3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>
      <c r="A581" s="1"/>
      <c r="B581" s="1"/>
      <c r="C581" s="35"/>
      <c r="D581" s="3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>
      <c r="A582" s="1"/>
      <c r="B582" s="1"/>
      <c r="C582" s="35"/>
      <c r="D582" s="3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>
      <c r="A583" s="1"/>
      <c r="B583" s="1"/>
      <c r="C583" s="35"/>
      <c r="D583" s="3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>
      <c r="A584" s="1"/>
      <c r="B584" s="1"/>
      <c r="C584" s="35"/>
      <c r="D584" s="3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>
      <c r="A585" s="1"/>
      <c r="B585" s="1"/>
      <c r="C585" s="35"/>
      <c r="D585" s="3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>
      <c r="A586" s="1"/>
      <c r="B586" s="1"/>
      <c r="C586" s="35"/>
      <c r="D586" s="3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>
      <c r="A587" s="1"/>
      <c r="B587" s="1"/>
      <c r="C587" s="35"/>
      <c r="D587" s="3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>
      <c r="A588" s="1"/>
      <c r="B588" s="1"/>
      <c r="C588" s="35"/>
      <c r="D588" s="3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>
      <c r="A589" s="1"/>
      <c r="B589" s="1"/>
      <c r="C589" s="35"/>
      <c r="D589" s="3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>
      <c r="A590" s="1"/>
      <c r="B590" s="1"/>
      <c r="C590" s="35"/>
      <c r="D590" s="3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>
      <c r="A591" s="1"/>
      <c r="B591" s="1"/>
      <c r="C591" s="35"/>
      <c r="D591" s="3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>
      <c r="A592" s="1"/>
      <c r="B592" s="1"/>
      <c r="C592" s="35"/>
      <c r="D592" s="3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>
      <c r="A593" s="1"/>
      <c r="B593" s="1"/>
      <c r="C593" s="35"/>
      <c r="D593" s="3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>
      <c r="A594" s="1"/>
      <c r="B594" s="1"/>
      <c r="C594" s="35"/>
      <c r="D594" s="3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>
      <c r="A595" s="1"/>
      <c r="B595" s="1"/>
      <c r="C595" s="35"/>
      <c r="D595" s="3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>
      <c r="A596" s="1"/>
      <c r="B596" s="1"/>
      <c r="C596" s="35"/>
      <c r="D596" s="3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>
      <c r="A597" s="1"/>
      <c r="B597" s="1"/>
      <c r="C597" s="35"/>
      <c r="D597" s="3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>
      <c r="A598" s="1"/>
      <c r="B598" s="1"/>
      <c r="C598" s="35"/>
      <c r="D598" s="3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>
      <c r="A599" s="1"/>
      <c r="B599" s="1"/>
      <c r="C599" s="35"/>
      <c r="D599" s="3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>
      <c r="A600" s="1"/>
      <c r="B600" s="1"/>
      <c r="C600" s="35"/>
      <c r="D600" s="3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>
      <c r="A601" s="1"/>
      <c r="B601" s="1"/>
      <c r="C601" s="35"/>
      <c r="D601" s="3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>
      <c r="A602" s="1"/>
      <c r="B602" s="1"/>
      <c r="C602" s="35"/>
      <c r="D602" s="3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>
      <c r="A603" s="1"/>
      <c r="B603" s="1"/>
      <c r="C603" s="35"/>
      <c r="D603" s="3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>
      <c r="A604" s="1"/>
      <c r="B604" s="1"/>
      <c r="C604" s="35"/>
      <c r="D604" s="3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>
      <c r="A605" s="1"/>
      <c r="B605" s="1"/>
      <c r="C605" s="35"/>
      <c r="D605" s="3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>
      <c r="A606" s="1"/>
      <c r="B606" s="1"/>
      <c r="C606" s="35"/>
      <c r="D606" s="3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>
      <c r="A607" s="1"/>
      <c r="B607" s="1"/>
      <c r="C607" s="35"/>
      <c r="D607" s="3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>
      <c r="A608" s="1"/>
      <c r="B608" s="1"/>
      <c r="C608" s="35"/>
      <c r="D608" s="3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>
      <c r="A609" s="1"/>
      <c r="B609" s="1"/>
      <c r="C609" s="35"/>
      <c r="D609" s="3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>
      <c r="A610" s="1"/>
      <c r="B610" s="1"/>
      <c r="C610" s="35"/>
      <c r="D610" s="3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>
      <c r="A611" s="1"/>
      <c r="B611" s="1"/>
      <c r="C611" s="35"/>
      <c r="D611" s="3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>
      <c r="A612" s="1"/>
      <c r="B612" s="1"/>
      <c r="C612" s="35"/>
      <c r="D612" s="3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>
      <c r="A613" s="1"/>
      <c r="B613" s="1"/>
      <c r="C613" s="35"/>
      <c r="D613" s="3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>
      <c r="A614" s="1"/>
      <c r="B614" s="1"/>
      <c r="C614" s="35"/>
      <c r="D614" s="3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>
      <c r="A615" s="1"/>
      <c r="B615" s="1"/>
      <c r="C615" s="35"/>
      <c r="D615" s="3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>
      <c r="A616" s="1"/>
      <c r="B616" s="1"/>
      <c r="C616" s="35"/>
      <c r="D616" s="3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>
      <c r="A617" s="1"/>
      <c r="B617" s="1"/>
      <c r="C617" s="35"/>
      <c r="D617" s="3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>
      <c r="A618" s="1"/>
      <c r="B618" s="1"/>
      <c r="C618" s="35"/>
      <c r="D618" s="3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>
      <c r="A619" s="1"/>
      <c r="B619" s="1"/>
      <c r="C619" s="35"/>
      <c r="D619" s="3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>
      <c r="A620" s="1"/>
      <c r="B620" s="1"/>
      <c r="C620" s="35"/>
      <c r="D620" s="3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>
      <c r="A621" s="1"/>
      <c r="B621" s="1"/>
      <c r="C621" s="35"/>
      <c r="D621" s="3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>
      <c r="A622" s="1"/>
      <c r="B622" s="1"/>
      <c r="C622" s="35"/>
      <c r="D622" s="3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>
      <c r="A623" s="1"/>
      <c r="B623" s="1"/>
      <c r="C623" s="35"/>
      <c r="D623" s="3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>
      <c r="A624" s="1"/>
      <c r="B624" s="1"/>
      <c r="C624" s="35"/>
      <c r="D624" s="3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>
      <c r="A625" s="1"/>
      <c r="B625" s="1"/>
      <c r="C625" s="35"/>
      <c r="D625" s="3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>
      <c r="A626" s="1"/>
      <c r="B626" s="1"/>
      <c r="C626" s="35"/>
      <c r="D626" s="3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>
      <c r="A627" s="1"/>
      <c r="B627" s="1"/>
      <c r="C627" s="35"/>
      <c r="D627" s="3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>
      <c r="A628" s="1"/>
      <c r="B628" s="1"/>
      <c r="C628" s="35"/>
      <c r="D628" s="3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>
      <c r="A629" s="1"/>
      <c r="B629" s="1"/>
      <c r="C629" s="35"/>
      <c r="D629" s="3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>
      <c r="A630" s="1"/>
      <c r="B630" s="1"/>
      <c r="C630" s="35"/>
      <c r="D630" s="3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>
      <c r="A631" s="1"/>
      <c r="B631" s="1"/>
      <c r="C631" s="35"/>
      <c r="D631" s="3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>
      <c r="A632" s="1"/>
      <c r="B632" s="1"/>
      <c r="C632" s="35"/>
      <c r="D632" s="3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>
      <c r="A633" s="1"/>
      <c r="B633" s="1"/>
      <c r="C633" s="35"/>
      <c r="D633" s="3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>
      <c r="A634" s="1"/>
      <c r="B634" s="1"/>
      <c r="C634" s="35"/>
      <c r="D634" s="3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>
      <c r="A635" s="1"/>
      <c r="B635" s="1"/>
      <c r="C635" s="35"/>
      <c r="D635" s="3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>
      <c r="A636" s="1"/>
      <c r="B636" s="1"/>
      <c r="C636" s="35"/>
      <c r="D636" s="3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>
      <c r="A637" s="1"/>
      <c r="B637" s="1"/>
      <c r="C637" s="35"/>
      <c r="D637" s="3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>
      <c r="A638" s="1"/>
      <c r="B638" s="1"/>
      <c r="C638" s="35"/>
      <c r="D638" s="3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>
      <c r="A639" s="1"/>
      <c r="B639" s="1"/>
      <c r="C639" s="35"/>
      <c r="D639" s="3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>
      <c r="A640" s="1"/>
      <c r="B640" s="1"/>
      <c r="C640" s="35"/>
      <c r="D640" s="3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>
      <c r="A641" s="1"/>
      <c r="B641" s="1"/>
      <c r="C641" s="35"/>
      <c r="D641" s="3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>
      <c r="A642" s="1"/>
      <c r="B642" s="1"/>
      <c r="C642" s="35"/>
      <c r="D642" s="3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>
      <c r="A643" s="1"/>
      <c r="B643" s="1"/>
      <c r="C643" s="35"/>
      <c r="D643" s="3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>
      <c r="A644" s="1"/>
      <c r="B644" s="1"/>
      <c r="C644" s="35"/>
      <c r="D644" s="3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>
      <c r="A645" s="1"/>
      <c r="B645" s="1"/>
      <c r="C645" s="35"/>
      <c r="D645" s="3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>
      <c r="A646" s="1"/>
      <c r="B646" s="1"/>
      <c r="C646" s="35"/>
      <c r="D646" s="3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>
      <c r="A647" s="1"/>
      <c r="B647" s="1"/>
      <c r="C647" s="35"/>
      <c r="D647" s="3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>
      <c r="A648" s="1"/>
      <c r="B648" s="1"/>
      <c r="C648" s="35"/>
      <c r="D648" s="3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>
      <c r="A649" s="1"/>
      <c r="B649" s="1"/>
      <c r="C649" s="35"/>
      <c r="D649" s="3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>
      <c r="A650" s="1"/>
      <c r="B650" s="1"/>
      <c r="C650" s="35"/>
      <c r="D650" s="3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>
      <c r="A651" s="1"/>
      <c r="B651" s="1"/>
      <c r="C651" s="35"/>
      <c r="D651" s="3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>
      <c r="A652" s="1"/>
      <c r="B652" s="1"/>
      <c r="C652" s="35"/>
      <c r="D652" s="3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>
      <c r="A653" s="1"/>
      <c r="B653" s="1"/>
      <c r="C653" s="35"/>
      <c r="D653" s="3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>
      <c r="A654" s="1"/>
      <c r="B654" s="1"/>
      <c r="C654" s="35"/>
      <c r="D654" s="3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>
      <c r="A655" s="1"/>
      <c r="B655" s="1"/>
      <c r="C655" s="35"/>
      <c r="D655" s="3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>
      <c r="A656" s="1"/>
      <c r="B656" s="1"/>
      <c r="C656" s="35"/>
      <c r="D656" s="3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>
      <c r="A657" s="1"/>
      <c r="B657" s="1"/>
      <c r="C657" s="35"/>
      <c r="D657" s="3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>
      <c r="A658" s="1"/>
      <c r="B658" s="1"/>
      <c r="C658" s="35"/>
      <c r="D658" s="3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>
      <c r="A659" s="1"/>
      <c r="B659" s="1"/>
      <c r="C659" s="35"/>
      <c r="D659" s="3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>
      <c r="A660" s="1"/>
      <c r="B660" s="1"/>
      <c r="C660" s="35"/>
      <c r="D660" s="3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>
      <c r="A661" s="1"/>
      <c r="B661" s="1"/>
      <c r="C661" s="35"/>
      <c r="D661" s="3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>
      <c r="A662" s="1"/>
      <c r="B662" s="1"/>
      <c r="C662" s="35"/>
      <c r="D662" s="3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>
      <c r="A663" s="1"/>
      <c r="B663" s="1"/>
      <c r="C663" s="35"/>
      <c r="D663" s="3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>
      <c r="A664" s="1"/>
      <c r="B664" s="1"/>
      <c r="C664" s="35"/>
      <c r="D664" s="3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>
      <c r="A665" s="1"/>
      <c r="B665" s="1"/>
      <c r="C665" s="35"/>
      <c r="D665" s="3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>
      <c r="A666" s="1"/>
      <c r="B666" s="1"/>
      <c r="C666" s="35"/>
      <c r="D666" s="3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>
      <c r="A667" s="1"/>
      <c r="B667" s="1"/>
      <c r="C667" s="35"/>
      <c r="D667" s="3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>
      <c r="A668" s="1"/>
      <c r="B668" s="1"/>
      <c r="C668" s="35"/>
      <c r="D668" s="3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>
      <c r="A669" s="1"/>
      <c r="B669" s="1"/>
      <c r="C669" s="35"/>
      <c r="D669" s="3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>
      <c r="A670" s="1"/>
      <c r="B670" s="1"/>
      <c r="C670" s="35"/>
      <c r="D670" s="3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>
      <c r="A671" s="1"/>
      <c r="B671" s="1"/>
      <c r="C671" s="35"/>
      <c r="D671" s="3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>
      <c r="A672" s="1"/>
      <c r="B672" s="1"/>
      <c r="C672" s="35"/>
      <c r="D672" s="3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>
      <c r="A673" s="1"/>
      <c r="B673" s="1"/>
      <c r="C673" s="35"/>
      <c r="D673" s="3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>
      <c r="A674" s="1"/>
      <c r="B674" s="1"/>
      <c r="C674" s="35"/>
      <c r="D674" s="3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>
      <c r="A675" s="1"/>
      <c r="B675" s="1"/>
      <c r="C675" s="35"/>
      <c r="D675" s="3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>
      <c r="A676" s="1"/>
      <c r="B676" s="1"/>
      <c r="C676" s="35"/>
      <c r="D676" s="3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>
      <c r="A677" s="1"/>
      <c r="B677" s="1"/>
      <c r="C677" s="35"/>
      <c r="D677" s="3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>
      <c r="A678" s="1"/>
      <c r="B678" s="1"/>
      <c r="C678" s="35"/>
      <c r="D678" s="3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>
      <c r="A679" s="1"/>
      <c r="B679" s="1"/>
      <c r="C679" s="35"/>
      <c r="D679" s="3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>
      <c r="A680" s="1"/>
      <c r="B680" s="1"/>
      <c r="C680" s="35"/>
      <c r="D680" s="3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>
      <c r="A681" s="1"/>
      <c r="B681" s="1"/>
      <c r="C681" s="35"/>
      <c r="D681" s="3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>
      <c r="A682" s="1"/>
      <c r="B682" s="1"/>
      <c r="C682" s="35"/>
      <c r="D682" s="3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>
      <c r="A683" s="1"/>
      <c r="B683" s="1"/>
      <c r="C683" s="35"/>
      <c r="D683" s="3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>
      <c r="A684" s="1"/>
      <c r="B684" s="1"/>
      <c r="C684" s="35"/>
      <c r="D684" s="3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>
      <c r="A685" s="1"/>
      <c r="B685" s="1"/>
      <c r="C685" s="35"/>
      <c r="D685" s="3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>
      <c r="A686" s="1"/>
      <c r="B686" s="1"/>
      <c r="C686" s="35"/>
      <c r="D686" s="3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>
      <c r="A687" s="1"/>
      <c r="B687" s="1"/>
      <c r="C687" s="35"/>
      <c r="D687" s="3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>
      <c r="A688" s="1"/>
      <c r="B688" s="1"/>
      <c r="C688" s="35"/>
      <c r="D688" s="3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>
      <c r="A689" s="1"/>
      <c r="B689" s="1"/>
      <c r="C689" s="35"/>
      <c r="D689" s="3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>
      <c r="A690" s="1"/>
      <c r="B690" s="1"/>
      <c r="C690" s="35"/>
      <c r="D690" s="3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>
      <c r="A691" s="1"/>
      <c r="B691" s="1"/>
      <c r="C691" s="35"/>
      <c r="D691" s="3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>
      <c r="A692" s="1"/>
      <c r="B692" s="1"/>
      <c r="C692" s="35"/>
      <c r="D692" s="3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>
      <c r="A693" s="1"/>
      <c r="B693" s="1"/>
      <c r="C693" s="35"/>
      <c r="D693" s="3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>
      <c r="A694" s="1"/>
      <c r="B694" s="1"/>
      <c r="C694" s="35"/>
      <c r="D694" s="3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>
      <c r="A695" s="1"/>
      <c r="B695" s="1"/>
      <c r="C695" s="35"/>
      <c r="D695" s="3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>
      <c r="A696" s="1"/>
      <c r="B696" s="1"/>
      <c r="C696" s="35"/>
      <c r="D696" s="3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>
      <c r="A697" s="1"/>
      <c r="B697" s="1"/>
      <c r="C697" s="35"/>
      <c r="D697" s="3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>
      <c r="A698" s="1"/>
      <c r="B698" s="1"/>
      <c r="C698" s="35"/>
      <c r="D698" s="3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>
      <c r="A699" s="1"/>
      <c r="B699" s="1"/>
      <c r="C699" s="35"/>
      <c r="D699" s="3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>
      <c r="A700" s="1"/>
      <c r="B700" s="1"/>
      <c r="C700" s="35"/>
      <c r="D700" s="3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>
      <c r="A701" s="1"/>
      <c r="B701" s="1"/>
      <c r="C701" s="35"/>
      <c r="D701" s="3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>
      <c r="A702" s="1"/>
      <c r="B702" s="1"/>
      <c r="C702" s="35"/>
      <c r="D702" s="3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>
      <c r="A703" s="1"/>
      <c r="B703" s="1"/>
      <c r="C703" s="35"/>
      <c r="D703" s="3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>
      <c r="A704" s="1"/>
      <c r="B704" s="1"/>
      <c r="C704" s="35"/>
      <c r="D704" s="3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>
      <c r="A705" s="1"/>
      <c r="B705" s="1"/>
      <c r="C705" s="35"/>
      <c r="D705" s="3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>
      <c r="A706" s="1"/>
      <c r="B706" s="1"/>
      <c r="C706" s="35"/>
      <c r="D706" s="3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>
      <c r="A707" s="1"/>
      <c r="B707" s="1"/>
      <c r="C707" s="35"/>
      <c r="D707" s="3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>
      <c r="A708" s="1"/>
      <c r="B708" s="1"/>
      <c r="C708" s="35"/>
      <c r="D708" s="3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>
      <c r="A709" s="1"/>
      <c r="B709" s="1"/>
      <c r="C709" s="35"/>
      <c r="D709" s="3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>
      <c r="A710" s="1"/>
      <c r="B710" s="1"/>
      <c r="C710" s="35"/>
      <c r="D710" s="3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>
      <c r="A711" s="1"/>
      <c r="B711" s="1"/>
      <c r="C711" s="35"/>
      <c r="D711" s="3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>
      <c r="A712" s="1"/>
      <c r="B712" s="1"/>
      <c r="C712" s="35"/>
      <c r="D712" s="3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>
      <c r="A713" s="1"/>
      <c r="B713" s="1"/>
      <c r="C713" s="35"/>
      <c r="D713" s="3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>
      <c r="A714" s="1"/>
      <c r="B714" s="1"/>
      <c r="C714" s="35"/>
      <c r="D714" s="3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>
      <c r="A715" s="1"/>
      <c r="B715" s="1"/>
      <c r="C715" s="35"/>
      <c r="D715" s="3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>
      <c r="A716" s="1"/>
      <c r="B716" s="1"/>
      <c r="C716" s="35"/>
      <c r="D716" s="3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>
      <c r="A717" s="1"/>
      <c r="B717" s="1"/>
      <c r="C717" s="35"/>
      <c r="D717" s="3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>
      <c r="A718" s="1"/>
      <c r="B718" s="1"/>
      <c r="C718" s="35"/>
      <c r="D718" s="3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>
      <c r="A719" s="1"/>
      <c r="B719" s="1"/>
      <c r="C719" s="35"/>
      <c r="D719" s="3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>
      <c r="A720" s="1"/>
      <c r="B720" s="1"/>
      <c r="C720" s="35"/>
      <c r="D720" s="3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>
      <c r="A721" s="1"/>
      <c r="B721" s="1"/>
      <c r="C721" s="35"/>
      <c r="D721" s="3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>
      <c r="A722" s="1"/>
      <c r="B722" s="1"/>
      <c r="C722" s="35"/>
      <c r="D722" s="3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>
      <c r="A723" s="1"/>
      <c r="B723" s="1"/>
      <c r="C723" s="35"/>
      <c r="D723" s="3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>
      <c r="A724" s="1"/>
      <c r="B724" s="1"/>
      <c r="C724" s="35"/>
      <c r="D724" s="3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>
      <c r="A725" s="1"/>
      <c r="B725" s="1"/>
      <c r="C725" s="35"/>
      <c r="D725" s="3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>
      <c r="A726" s="1"/>
      <c r="B726" s="1"/>
      <c r="C726" s="35"/>
      <c r="D726" s="3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>
      <c r="A727" s="1"/>
      <c r="B727" s="1"/>
      <c r="C727" s="35"/>
      <c r="D727" s="3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>
      <c r="A728" s="1"/>
      <c r="B728" s="1"/>
      <c r="C728" s="35"/>
      <c r="D728" s="3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>
      <c r="A729" s="1"/>
      <c r="B729" s="1"/>
      <c r="C729" s="35"/>
      <c r="D729" s="3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>
      <c r="A730" s="1"/>
      <c r="B730" s="1"/>
      <c r="C730" s="35"/>
      <c r="D730" s="3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>
      <c r="A731" s="1"/>
      <c r="B731" s="1"/>
      <c r="C731" s="35"/>
      <c r="D731" s="3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>
      <c r="A732" s="1"/>
      <c r="B732" s="1"/>
      <c r="C732" s="35"/>
      <c r="D732" s="3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>
      <c r="A733" s="1"/>
      <c r="B733" s="1"/>
      <c r="C733" s="35"/>
      <c r="D733" s="3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>
      <c r="A734" s="1"/>
      <c r="B734" s="1"/>
      <c r="C734" s="35"/>
      <c r="D734" s="3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>
      <c r="A735" s="1"/>
      <c r="B735" s="1"/>
      <c r="C735" s="35"/>
      <c r="D735" s="3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>
      <c r="A736" s="1"/>
      <c r="B736" s="1"/>
      <c r="C736" s="35"/>
      <c r="D736" s="3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>
      <c r="A737" s="1"/>
      <c r="B737" s="1"/>
      <c r="C737" s="35"/>
      <c r="D737" s="3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>
      <c r="A738" s="1"/>
      <c r="B738" s="1"/>
      <c r="C738" s="35"/>
      <c r="D738" s="3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>
      <c r="A739" s="1"/>
      <c r="B739" s="1"/>
      <c r="C739" s="35"/>
      <c r="D739" s="3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>
      <c r="A740" s="1"/>
      <c r="B740" s="1"/>
      <c r="C740" s="35"/>
      <c r="D740" s="3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>
      <c r="A741" s="1"/>
      <c r="B741" s="1"/>
      <c r="C741" s="35"/>
      <c r="D741" s="3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>
      <c r="A742" s="1"/>
      <c r="B742" s="1"/>
      <c r="C742" s="35"/>
      <c r="D742" s="3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>
      <c r="A743" s="1"/>
      <c r="B743" s="1"/>
      <c r="C743" s="35"/>
      <c r="D743" s="3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>
      <c r="A744" s="1"/>
      <c r="B744" s="1"/>
      <c r="C744" s="35"/>
      <c r="D744" s="3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>
      <c r="A745" s="1"/>
      <c r="B745" s="1"/>
      <c r="C745" s="35"/>
      <c r="D745" s="3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>
      <c r="A746" s="1"/>
      <c r="B746" s="1"/>
      <c r="C746" s="35"/>
      <c r="D746" s="3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>
      <c r="A747" s="1"/>
      <c r="B747" s="1"/>
      <c r="C747" s="35"/>
      <c r="D747" s="3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>
      <c r="A748" s="1"/>
      <c r="B748" s="1"/>
      <c r="C748" s="35"/>
      <c r="D748" s="3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>
      <c r="A749" s="1"/>
      <c r="B749" s="1"/>
      <c r="C749" s="35"/>
      <c r="D749" s="3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>
      <c r="A750" s="1"/>
      <c r="B750" s="1"/>
      <c r="C750" s="35"/>
      <c r="D750" s="3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>
      <c r="A751" s="1"/>
      <c r="B751" s="1"/>
      <c r="C751" s="35"/>
      <c r="D751" s="3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>
      <c r="A752" s="1"/>
      <c r="B752" s="1"/>
      <c r="C752" s="35"/>
      <c r="D752" s="3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>
      <c r="A753" s="1"/>
      <c r="B753" s="1"/>
      <c r="C753" s="35"/>
      <c r="D753" s="3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>
      <c r="A754" s="1"/>
      <c r="B754" s="1"/>
      <c r="C754" s="35"/>
      <c r="D754" s="3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>
      <c r="A755" s="1"/>
      <c r="B755" s="1"/>
      <c r="C755" s="35"/>
      <c r="D755" s="3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>
      <c r="A756" s="1"/>
      <c r="B756" s="1"/>
      <c r="C756" s="35"/>
      <c r="D756" s="3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>
      <c r="A757" s="1"/>
      <c r="B757" s="1"/>
      <c r="C757" s="35"/>
      <c r="D757" s="3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>
      <c r="A758" s="1"/>
      <c r="B758" s="1"/>
      <c r="C758" s="35"/>
      <c r="D758" s="3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>
      <c r="A759" s="1"/>
      <c r="B759" s="1"/>
      <c r="C759" s="35"/>
      <c r="D759" s="3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>
      <c r="A760" s="1"/>
      <c r="B760" s="1"/>
      <c r="C760" s="35"/>
      <c r="D760" s="3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>
      <c r="A761" s="1"/>
      <c r="B761" s="1"/>
      <c r="C761" s="35"/>
      <c r="D761" s="3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>
      <c r="A762" s="1"/>
      <c r="B762" s="1"/>
      <c r="C762" s="35"/>
      <c r="D762" s="3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>
      <c r="A763" s="1"/>
      <c r="B763" s="1"/>
      <c r="C763" s="35"/>
      <c r="D763" s="3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>
      <c r="A764" s="1"/>
      <c r="B764" s="1"/>
      <c r="C764" s="35"/>
      <c r="D764" s="3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>
      <c r="A765" s="1"/>
      <c r="B765" s="1"/>
      <c r="C765" s="35"/>
      <c r="D765" s="3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>
      <c r="A766" s="1"/>
      <c r="B766" s="1"/>
      <c r="C766" s="35"/>
      <c r="D766" s="3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>
      <c r="A767" s="1"/>
      <c r="B767" s="1"/>
      <c r="C767" s="35"/>
      <c r="D767" s="3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>
      <c r="A768" s="1"/>
      <c r="B768" s="1"/>
      <c r="C768" s="35"/>
      <c r="D768" s="3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>
      <c r="A769" s="1"/>
      <c r="B769" s="1"/>
      <c r="C769" s="35"/>
      <c r="D769" s="3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>
      <c r="A770" s="1"/>
      <c r="B770" s="1"/>
      <c r="C770" s="35"/>
      <c r="D770" s="3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>
      <c r="A771" s="1"/>
      <c r="B771" s="1"/>
      <c r="C771" s="35"/>
      <c r="D771" s="3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>
      <c r="A772" s="1"/>
      <c r="B772" s="1"/>
      <c r="C772" s="35"/>
      <c r="D772" s="3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>
      <c r="A773" s="1"/>
      <c r="B773" s="1"/>
      <c r="C773" s="35"/>
      <c r="D773" s="3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>
      <c r="A774" s="1"/>
      <c r="B774" s="1"/>
      <c r="C774" s="35"/>
      <c r="D774" s="3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>
      <c r="A775" s="1"/>
      <c r="B775" s="1"/>
      <c r="C775" s="35"/>
      <c r="D775" s="3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>
      <c r="A776" s="1"/>
      <c r="B776" s="1"/>
      <c r="C776" s="35"/>
      <c r="D776" s="3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>
      <c r="A777" s="1"/>
      <c r="B777" s="1"/>
      <c r="C777" s="35"/>
      <c r="D777" s="3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>
      <c r="A778" s="1"/>
      <c r="B778" s="1"/>
      <c r="C778" s="35"/>
      <c r="D778" s="3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>
      <c r="A779" s="1"/>
      <c r="B779" s="1"/>
      <c r="C779" s="35"/>
      <c r="D779" s="3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>
      <c r="A780" s="1"/>
      <c r="B780" s="1"/>
      <c r="C780" s="35"/>
      <c r="D780" s="3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>
      <c r="A781" s="1"/>
      <c r="B781" s="1"/>
      <c r="C781" s="35"/>
      <c r="D781" s="3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>
      <c r="A782" s="1"/>
      <c r="B782" s="1"/>
      <c r="C782" s="35"/>
      <c r="D782" s="3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>
      <c r="A783" s="1"/>
      <c r="B783" s="1"/>
      <c r="C783" s="35"/>
      <c r="D783" s="3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>
      <c r="A784" s="1"/>
      <c r="B784" s="1"/>
      <c r="C784" s="35"/>
      <c r="D784" s="3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>
      <c r="A785" s="1"/>
      <c r="B785" s="1"/>
      <c r="C785" s="35"/>
      <c r="D785" s="3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>
      <c r="A786" s="1"/>
      <c r="B786" s="1"/>
      <c r="C786" s="35"/>
      <c r="D786" s="3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>
      <c r="A787" s="1"/>
      <c r="B787" s="1"/>
      <c r="C787" s="35"/>
      <c r="D787" s="3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>
      <c r="A788" s="1"/>
      <c r="B788" s="1"/>
      <c r="C788" s="35"/>
      <c r="D788" s="3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>
      <c r="A789" s="1"/>
      <c r="B789" s="1"/>
      <c r="C789" s="35"/>
      <c r="D789" s="3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>
      <c r="A790" s="1"/>
      <c r="B790" s="1"/>
      <c r="C790" s="35"/>
      <c r="D790" s="3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>
      <c r="A791" s="1"/>
      <c r="B791" s="1"/>
      <c r="C791" s="35"/>
      <c r="D791" s="3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>
      <c r="A792" s="1"/>
      <c r="B792" s="1"/>
      <c r="C792" s="35"/>
      <c r="D792" s="3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>
      <c r="A793" s="1"/>
      <c r="B793" s="1"/>
      <c r="C793" s="35"/>
      <c r="D793" s="3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>
      <c r="A794" s="1"/>
      <c r="B794" s="1"/>
      <c r="C794" s="35"/>
      <c r="D794" s="3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>
      <c r="A795" s="1"/>
      <c r="B795" s="1"/>
      <c r="C795" s="35"/>
      <c r="D795" s="3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>
      <c r="A796" s="1"/>
      <c r="B796" s="1"/>
      <c r="C796" s="35"/>
      <c r="D796" s="3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>
      <c r="A797" s="1"/>
      <c r="B797" s="1"/>
      <c r="C797" s="35"/>
      <c r="D797" s="3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>
      <c r="A798" s="1"/>
      <c r="B798" s="1"/>
      <c r="C798" s="35"/>
      <c r="D798" s="3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>
      <c r="A799" s="1"/>
      <c r="B799" s="1"/>
      <c r="C799" s="35"/>
      <c r="D799" s="3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>
      <c r="A800" s="1"/>
      <c r="B800" s="1"/>
      <c r="C800" s="35"/>
      <c r="D800" s="3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>
      <c r="A801" s="1"/>
      <c r="B801" s="1"/>
      <c r="C801" s="35"/>
      <c r="D801" s="3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>
      <c r="A802" s="1"/>
      <c r="B802" s="1"/>
      <c r="C802" s="35"/>
      <c r="D802" s="3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>
      <c r="A803" s="1"/>
      <c r="B803" s="1"/>
      <c r="C803" s="35"/>
      <c r="D803" s="3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>
      <c r="A804" s="1"/>
      <c r="B804" s="1"/>
      <c r="C804" s="35"/>
      <c r="D804" s="3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>
      <c r="A805" s="1"/>
      <c r="B805" s="1"/>
      <c r="C805" s="35"/>
      <c r="D805" s="3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>
      <c r="A806" s="1"/>
      <c r="B806" s="1"/>
      <c r="C806" s="35"/>
      <c r="D806" s="3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>
      <c r="A807" s="1"/>
      <c r="B807" s="1"/>
      <c r="C807" s="35"/>
      <c r="D807" s="3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>
      <c r="A808" s="1"/>
      <c r="B808" s="1"/>
      <c r="C808" s="35"/>
      <c r="D808" s="3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>
      <c r="A809" s="1"/>
      <c r="B809" s="1"/>
      <c r="C809" s="35"/>
      <c r="D809" s="3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>
      <c r="A810" s="1"/>
      <c r="B810" s="1"/>
      <c r="C810" s="35"/>
      <c r="D810" s="3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>
      <c r="A811" s="1"/>
      <c r="B811" s="1"/>
      <c r="C811" s="35"/>
      <c r="D811" s="3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>
      <c r="A812" s="1"/>
      <c r="B812" s="1"/>
      <c r="C812" s="35"/>
      <c r="D812" s="3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>
      <c r="A813" s="1"/>
      <c r="B813" s="1"/>
      <c r="C813" s="35"/>
      <c r="D813" s="3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>
      <c r="A814" s="1"/>
      <c r="B814" s="1"/>
      <c r="C814" s="35"/>
      <c r="D814" s="3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>
      <c r="A815" s="1"/>
      <c r="B815" s="1"/>
      <c r="C815" s="35"/>
      <c r="D815" s="3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>
      <c r="A816" s="1"/>
      <c r="B816" s="1"/>
      <c r="C816" s="35"/>
      <c r="D816" s="3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>
      <c r="A817" s="1"/>
      <c r="B817" s="1"/>
      <c r="C817" s="35"/>
      <c r="D817" s="3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>
      <c r="A818" s="1"/>
      <c r="B818" s="1"/>
      <c r="C818" s="35"/>
      <c r="D818" s="3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>
      <c r="A819" s="1"/>
      <c r="B819" s="1"/>
      <c r="C819" s="35"/>
      <c r="D819" s="3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>
      <c r="A820" s="1"/>
      <c r="B820" s="1"/>
      <c r="C820" s="35"/>
      <c r="D820" s="3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>
      <c r="A821" s="1"/>
      <c r="B821" s="1"/>
      <c r="C821" s="35"/>
      <c r="D821" s="3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>
      <c r="A822" s="1"/>
      <c r="B822" s="1"/>
      <c r="C822" s="35"/>
      <c r="D822" s="3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>
      <c r="A823" s="1"/>
      <c r="B823" s="1"/>
      <c r="C823" s="35"/>
      <c r="D823" s="3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>
      <c r="A824" s="1"/>
      <c r="B824" s="1"/>
      <c r="C824" s="35"/>
      <c r="D824" s="3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>
      <c r="A825" s="1"/>
      <c r="B825" s="1"/>
      <c r="C825" s="35"/>
      <c r="D825" s="3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>
      <c r="A826" s="1"/>
      <c r="B826" s="1"/>
      <c r="C826" s="35"/>
      <c r="D826" s="3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>
      <c r="A827" s="1"/>
      <c r="B827" s="1"/>
      <c r="C827" s="35"/>
      <c r="D827" s="3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>
      <c r="A828" s="1"/>
      <c r="B828" s="1"/>
      <c r="C828" s="35"/>
      <c r="D828" s="3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>
      <c r="A829" s="1"/>
      <c r="B829" s="1"/>
      <c r="C829" s="35"/>
      <c r="D829" s="3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>
      <c r="A830" s="1"/>
      <c r="B830" s="1"/>
      <c r="C830" s="35"/>
      <c r="D830" s="3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>
      <c r="A831" s="1"/>
      <c r="B831" s="1"/>
      <c r="C831" s="35"/>
      <c r="D831" s="3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>
      <c r="A832" s="1"/>
      <c r="B832" s="1"/>
      <c r="C832" s="35"/>
      <c r="D832" s="3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>
      <c r="A833" s="1"/>
      <c r="B833" s="1"/>
      <c r="C833" s="35"/>
      <c r="D833" s="3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>
      <c r="A834" s="1"/>
      <c r="B834" s="1"/>
      <c r="C834" s="35"/>
      <c r="D834" s="3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>
      <c r="A835" s="1"/>
      <c r="B835" s="1"/>
      <c r="C835" s="35"/>
      <c r="D835" s="3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>
      <c r="A836" s="1"/>
      <c r="B836" s="1"/>
      <c r="C836" s="35"/>
      <c r="D836" s="3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>
      <c r="A837" s="1"/>
      <c r="B837" s="1"/>
      <c r="C837" s="35"/>
      <c r="D837" s="3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>
      <c r="A838" s="1"/>
      <c r="B838" s="1"/>
      <c r="C838" s="35"/>
      <c r="D838" s="3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>
      <c r="A839" s="1"/>
      <c r="B839" s="1"/>
      <c r="C839" s="35"/>
      <c r="D839" s="3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>
      <c r="A840" s="1"/>
      <c r="B840" s="1"/>
      <c r="C840" s="35"/>
      <c r="D840" s="3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>
      <c r="A841" s="1"/>
      <c r="B841" s="1"/>
      <c r="C841" s="35"/>
      <c r="D841" s="3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>
      <c r="A842" s="1"/>
      <c r="B842" s="1"/>
      <c r="C842" s="35"/>
      <c r="D842" s="3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>
      <c r="A843" s="1"/>
      <c r="B843" s="1"/>
      <c r="C843" s="35"/>
      <c r="D843" s="3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>
      <c r="A844" s="1"/>
      <c r="B844" s="1"/>
      <c r="C844" s="35"/>
      <c r="D844" s="3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>
      <c r="A845" s="1"/>
      <c r="B845" s="1"/>
      <c r="C845" s="35"/>
      <c r="D845" s="3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>
      <c r="A846" s="1"/>
      <c r="B846" s="1"/>
      <c r="C846" s="35"/>
      <c r="D846" s="3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>
      <c r="A847" s="1"/>
      <c r="B847" s="1"/>
      <c r="C847" s="35"/>
      <c r="D847" s="3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>
      <c r="A848" s="1"/>
      <c r="B848" s="1"/>
      <c r="C848" s="35"/>
      <c r="D848" s="3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>
      <c r="A849" s="1"/>
      <c r="B849" s="1"/>
      <c r="C849" s="35"/>
      <c r="D849" s="3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>
      <c r="A850" s="1"/>
      <c r="B850" s="1"/>
      <c r="C850" s="35"/>
      <c r="D850" s="3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>
      <c r="A851" s="1"/>
      <c r="B851" s="1"/>
      <c r="C851" s="35"/>
      <c r="D851" s="3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>
      <c r="A852" s="1"/>
      <c r="B852" s="1"/>
      <c r="C852" s="35"/>
      <c r="D852" s="3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>
      <c r="A853" s="1"/>
      <c r="B853" s="1"/>
      <c r="C853" s="35"/>
      <c r="D853" s="3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>
      <c r="A854" s="1"/>
      <c r="B854" s="1"/>
      <c r="C854" s="35"/>
      <c r="D854" s="3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>
      <c r="A855" s="1"/>
      <c r="B855" s="1"/>
      <c r="C855" s="35"/>
      <c r="D855" s="3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>
      <c r="A856" s="1"/>
      <c r="B856" s="1"/>
      <c r="C856" s="35"/>
      <c r="D856" s="3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>
      <c r="A857" s="1"/>
      <c r="B857" s="1"/>
      <c r="C857" s="35"/>
      <c r="D857" s="3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>
      <c r="A858" s="1"/>
      <c r="B858" s="1"/>
      <c r="C858" s="35"/>
      <c r="D858" s="3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>
      <c r="A859" s="1"/>
      <c r="B859" s="1"/>
      <c r="C859" s="35"/>
      <c r="D859" s="3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>
      <c r="A860" s="1"/>
      <c r="B860" s="1"/>
      <c r="C860" s="35"/>
      <c r="D860" s="3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>
      <c r="A861" s="1"/>
      <c r="B861" s="1"/>
      <c r="C861" s="35"/>
      <c r="D861" s="3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>
      <c r="A862" s="1"/>
      <c r="B862" s="1"/>
      <c r="C862" s="35"/>
      <c r="D862" s="3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>
      <c r="A863" s="1"/>
      <c r="B863" s="1"/>
      <c r="C863" s="35"/>
      <c r="D863" s="3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>
      <c r="A864" s="1"/>
      <c r="B864" s="1"/>
      <c r="C864" s="35"/>
      <c r="D864" s="3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>
      <c r="A865" s="1"/>
      <c r="B865" s="1"/>
      <c r="C865" s="35"/>
      <c r="D865" s="3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>
      <c r="A866" s="1"/>
      <c r="B866" s="1"/>
      <c r="C866" s="35"/>
      <c r="D866" s="3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>
      <c r="A867" s="1"/>
      <c r="B867" s="1"/>
      <c r="C867" s="35"/>
      <c r="D867" s="3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>
      <c r="A868" s="1"/>
      <c r="B868" s="1"/>
      <c r="C868" s="35"/>
      <c r="D868" s="3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>
      <c r="A869" s="1"/>
      <c r="B869" s="1"/>
      <c r="C869" s="35"/>
      <c r="D869" s="3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>
      <c r="A870" s="1"/>
      <c r="B870" s="1"/>
      <c r="C870" s="35"/>
      <c r="D870" s="3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>
      <c r="A871" s="1"/>
      <c r="B871" s="1"/>
      <c r="C871" s="35"/>
      <c r="D871" s="3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>
      <c r="A872" s="1"/>
      <c r="B872" s="1"/>
      <c r="C872" s="35"/>
      <c r="D872" s="3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>
      <c r="A873" s="1"/>
      <c r="B873" s="1"/>
      <c r="C873" s="35"/>
      <c r="D873" s="3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>
      <c r="A874" s="1"/>
      <c r="B874" s="1"/>
      <c r="C874" s="35"/>
      <c r="D874" s="3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>
      <c r="A875" s="1"/>
      <c r="B875" s="1"/>
      <c r="C875" s="35"/>
      <c r="D875" s="3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>
      <c r="A876" s="1"/>
      <c r="B876" s="1"/>
      <c r="C876" s="35"/>
      <c r="D876" s="3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>
      <c r="A877" s="1"/>
      <c r="B877" s="1"/>
      <c r="C877" s="35"/>
      <c r="D877" s="3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>
      <c r="A878" s="1"/>
      <c r="B878" s="1"/>
      <c r="C878" s="35"/>
      <c r="D878" s="3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>
      <c r="A879" s="1"/>
      <c r="B879" s="1"/>
      <c r="C879" s="35"/>
      <c r="D879" s="3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>
      <c r="A880" s="1"/>
      <c r="B880" s="1"/>
      <c r="C880" s="35"/>
      <c r="D880" s="3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>
      <c r="A881" s="1"/>
      <c r="B881" s="1"/>
      <c r="C881" s="35"/>
      <c r="D881" s="3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>
      <c r="A882" s="1"/>
      <c r="B882" s="1"/>
      <c r="C882" s="35"/>
      <c r="D882" s="3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>
      <c r="A883" s="1"/>
      <c r="B883" s="1"/>
      <c r="C883" s="35"/>
      <c r="D883" s="3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>
      <c r="A884" s="1"/>
      <c r="B884" s="1"/>
      <c r="C884" s="35"/>
      <c r="D884" s="3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>
      <c r="A885" s="1"/>
      <c r="B885" s="1"/>
      <c r="C885" s="35"/>
      <c r="D885" s="3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>
      <c r="A886" s="1"/>
      <c r="B886" s="1"/>
      <c r="C886" s="35"/>
      <c r="D886" s="3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>
      <c r="A887" s="1"/>
      <c r="B887" s="1"/>
      <c r="C887" s="35"/>
      <c r="D887" s="3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>
      <c r="A888" s="1"/>
      <c r="B888" s="1"/>
      <c r="C888" s="35"/>
      <c r="D888" s="3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>
      <c r="A889" s="1"/>
      <c r="B889" s="1"/>
      <c r="C889" s="35"/>
      <c r="D889" s="3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>
      <c r="A890" s="1"/>
      <c r="B890" s="1"/>
      <c r="C890" s="35"/>
      <c r="D890" s="3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>
      <c r="A891" s="1"/>
      <c r="B891" s="1"/>
      <c r="C891" s="35"/>
      <c r="D891" s="3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>
      <c r="A892" s="1"/>
      <c r="B892" s="1"/>
      <c r="C892" s="35"/>
      <c r="D892" s="3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>
      <c r="A893" s="1"/>
      <c r="B893" s="1"/>
      <c r="C893" s="35"/>
      <c r="D893" s="3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>
      <c r="A894" s="1"/>
      <c r="B894" s="1"/>
      <c r="C894" s="35"/>
      <c r="D894" s="3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>
      <c r="A895" s="1"/>
      <c r="B895" s="1"/>
      <c r="C895" s="35"/>
      <c r="D895" s="3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>
      <c r="A896" s="1"/>
      <c r="B896" s="1"/>
      <c r="C896" s="35"/>
      <c r="D896" s="3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>
      <c r="A897" s="1"/>
      <c r="B897" s="1"/>
      <c r="C897" s="35"/>
      <c r="D897" s="3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>
      <c r="A898" s="1"/>
      <c r="B898" s="1"/>
      <c r="C898" s="35"/>
      <c r="D898" s="3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>
      <c r="A899" s="1"/>
      <c r="B899" s="1"/>
      <c r="C899" s="35"/>
      <c r="D899" s="3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>
      <c r="A900" s="1"/>
      <c r="B900" s="1"/>
      <c r="C900" s="35"/>
      <c r="D900" s="3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>
      <c r="A901" s="1"/>
      <c r="B901" s="1"/>
      <c r="C901" s="35"/>
      <c r="D901" s="3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>
      <c r="A902" s="1"/>
      <c r="B902" s="1"/>
      <c r="C902" s="35"/>
      <c r="D902" s="3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>
      <c r="A903" s="1"/>
      <c r="B903" s="1"/>
      <c r="C903" s="35"/>
      <c r="D903" s="3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>
      <c r="A904" s="1"/>
      <c r="B904" s="1"/>
      <c r="C904" s="35"/>
      <c r="D904" s="3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>
      <c r="A905" s="1"/>
      <c r="B905" s="1"/>
      <c r="C905" s="35"/>
      <c r="D905" s="3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>
      <c r="A906" s="1"/>
      <c r="B906" s="1"/>
      <c r="C906" s="35"/>
      <c r="D906" s="3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>
      <c r="A907" s="1"/>
      <c r="B907" s="1"/>
      <c r="C907" s="35"/>
      <c r="D907" s="3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>
      <c r="A908" s="1"/>
      <c r="B908" s="1"/>
      <c r="C908" s="35"/>
      <c r="D908" s="3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>
      <c r="A909" s="1"/>
      <c r="B909" s="1"/>
      <c r="C909" s="35"/>
      <c r="D909" s="3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>
      <c r="A910" s="1"/>
      <c r="B910" s="1"/>
      <c r="C910" s="35"/>
      <c r="D910" s="3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>
      <c r="A911" s="1"/>
      <c r="B911" s="1"/>
      <c r="C911" s="35"/>
      <c r="D911" s="3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>
      <c r="A912" s="1"/>
      <c r="B912" s="1"/>
      <c r="C912" s="35"/>
      <c r="D912" s="3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>
      <c r="A913" s="1"/>
      <c r="B913" s="1"/>
      <c r="C913" s="35"/>
      <c r="D913" s="3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>
      <c r="A914" s="1"/>
      <c r="B914" s="1"/>
      <c r="C914" s="35"/>
      <c r="D914" s="3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>
      <c r="A915" s="1"/>
      <c r="B915" s="1"/>
      <c r="C915" s="35"/>
      <c r="D915" s="3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>
      <c r="A916" s="1"/>
      <c r="B916" s="1"/>
      <c r="C916" s="35"/>
      <c r="D916" s="3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>
      <c r="A917" s="1"/>
      <c r="B917" s="1"/>
      <c r="C917" s="35"/>
      <c r="D917" s="3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>
      <c r="A918" s="1"/>
      <c r="B918" s="1"/>
      <c r="C918" s="35"/>
      <c r="D918" s="3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>
      <c r="A919" s="1"/>
      <c r="B919" s="1"/>
      <c r="C919" s="35"/>
      <c r="D919" s="3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>
      <c r="A920" s="1"/>
      <c r="B920" s="1"/>
      <c r="C920" s="35"/>
      <c r="D920" s="3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>
      <c r="A921" s="1"/>
      <c r="B921" s="1"/>
      <c r="C921" s="35"/>
      <c r="D921" s="3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>
      <c r="A922" s="1"/>
      <c r="B922" s="1"/>
      <c r="C922" s="35"/>
      <c r="D922" s="3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>
      <c r="A923" s="1"/>
      <c r="B923" s="1"/>
      <c r="C923" s="35"/>
      <c r="D923" s="3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>
      <c r="A924" s="1"/>
      <c r="B924" s="1"/>
      <c r="C924" s="35"/>
      <c r="D924" s="3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>
      <c r="A925" s="1"/>
      <c r="B925" s="1"/>
      <c r="C925" s="35"/>
      <c r="D925" s="3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>
      <c r="A926" s="1"/>
      <c r="B926" s="1"/>
      <c r="C926" s="35"/>
      <c r="D926" s="3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>
      <c r="A927" s="1"/>
      <c r="B927" s="1"/>
      <c r="C927" s="35"/>
      <c r="D927" s="3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>
      <c r="A928" s="1"/>
      <c r="B928" s="1"/>
      <c r="C928" s="35"/>
      <c r="D928" s="3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>
      <c r="A929" s="1"/>
      <c r="B929" s="1"/>
      <c r="C929" s="35"/>
      <c r="D929" s="3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>
      <c r="A930" s="1"/>
      <c r="B930" s="1"/>
      <c r="C930" s="35"/>
      <c r="D930" s="3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>
      <c r="A931" s="1"/>
      <c r="B931" s="1"/>
      <c r="C931" s="35"/>
      <c r="D931" s="3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>
      <c r="A932" s="1"/>
      <c r="B932" s="1"/>
      <c r="C932" s="35"/>
      <c r="D932" s="3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>
      <c r="A933" s="1"/>
      <c r="B933" s="1"/>
      <c r="C933" s="35"/>
      <c r="D933" s="3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>
      <c r="A934" s="1"/>
      <c r="B934" s="1"/>
      <c r="C934" s="35"/>
      <c r="D934" s="3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>
      <c r="A935" s="1"/>
      <c r="B935" s="1"/>
      <c r="C935" s="35"/>
      <c r="D935" s="3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>
      <c r="A936" s="1"/>
      <c r="B936" s="1"/>
      <c r="C936" s="35"/>
      <c r="D936" s="3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>
      <c r="A937" s="1"/>
      <c r="B937" s="1"/>
      <c r="C937" s="35"/>
      <c r="D937" s="3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>
      <c r="A938" s="1"/>
      <c r="B938" s="1"/>
      <c r="C938" s="35"/>
      <c r="D938" s="3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>
      <c r="A939" s="1"/>
      <c r="B939" s="1"/>
      <c r="C939" s="35"/>
      <c r="D939" s="3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>
      <c r="A940" s="1"/>
      <c r="B940" s="1"/>
      <c r="C940" s="35"/>
      <c r="D940" s="3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>
      <c r="A941" s="1"/>
      <c r="B941" s="1"/>
      <c r="C941" s="35"/>
      <c r="D941" s="3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>
      <c r="A942" s="1"/>
      <c r="B942" s="1"/>
      <c r="C942" s="35"/>
      <c r="D942" s="3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>
      <c r="A943" s="1"/>
      <c r="B943" s="1"/>
      <c r="C943" s="35"/>
      <c r="D943" s="3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>
      <c r="A944" s="1"/>
      <c r="B944" s="1"/>
      <c r="C944" s="35"/>
      <c r="D944" s="3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>
      <c r="A945" s="1"/>
      <c r="B945" s="1"/>
      <c r="C945" s="35"/>
      <c r="D945" s="3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>
      <c r="A946" s="1"/>
      <c r="B946" s="1"/>
      <c r="C946" s="35"/>
      <c r="D946" s="3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>
      <c r="A947" s="1"/>
      <c r="B947" s="1"/>
      <c r="C947" s="35"/>
      <c r="D947" s="3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>
      <c r="A948" s="1"/>
      <c r="B948" s="1"/>
      <c r="C948" s="35"/>
      <c r="D948" s="3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>
      <c r="A949" s="1"/>
      <c r="B949" s="1"/>
      <c r="C949" s="35"/>
      <c r="D949" s="3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>
      <c r="A950" s="1"/>
      <c r="B950" s="1"/>
      <c r="C950" s="35"/>
      <c r="D950" s="3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>
      <c r="A951" s="1"/>
      <c r="B951" s="1"/>
      <c r="C951" s="35"/>
      <c r="D951" s="3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>
      <c r="A952" s="1"/>
      <c r="B952" s="1"/>
      <c r="C952" s="35"/>
      <c r="D952" s="3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>
      <c r="A953" s="1"/>
      <c r="B953" s="1"/>
      <c r="C953" s="35"/>
      <c r="D953" s="3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>
      <c r="A954" s="1"/>
      <c r="B954" s="1"/>
      <c r="C954" s="35"/>
      <c r="D954" s="3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>
      <c r="A955" s="1"/>
      <c r="B955" s="1"/>
      <c r="C955" s="35"/>
      <c r="D955" s="3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>
      <c r="A956" s="1"/>
      <c r="B956" s="1"/>
      <c r="C956" s="35"/>
      <c r="D956" s="3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>
      <c r="A957" s="1"/>
      <c r="B957" s="1"/>
      <c r="C957" s="35"/>
      <c r="D957" s="3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>
      <c r="A958" s="1"/>
      <c r="B958" s="1"/>
      <c r="C958" s="35"/>
      <c r="D958" s="3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>
      <c r="A959" s="1"/>
      <c r="B959" s="1"/>
      <c r="C959" s="35"/>
      <c r="D959" s="3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>
      <c r="A960" s="1"/>
      <c r="B960" s="1"/>
      <c r="C960" s="35"/>
      <c r="D960" s="3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>
      <c r="A961" s="1"/>
      <c r="B961" s="1"/>
      <c r="C961" s="35"/>
      <c r="D961" s="3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>
      <c r="A962" s="1"/>
      <c r="B962" s="1"/>
      <c r="C962" s="35"/>
      <c r="D962" s="3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>
      <c r="A963" s="1"/>
      <c r="B963" s="1"/>
      <c r="C963" s="35"/>
      <c r="D963" s="3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>
      <c r="A964" s="1"/>
      <c r="B964" s="1"/>
      <c r="C964" s="35"/>
      <c r="D964" s="3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>
      <c r="A965" s="1"/>
      <c r="B965" s="1"/>
      <c r="C965" s="35"/>
      <c r="D965" s="3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>
      <c r="A966" s="1"/>
      <c r="B966" s="1"/>
      <c r="C966" s="35"/>
      <c r="D966" s="3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>
      <c r="A967" s="1"/>
      <c r="B967" s="1"/>
      <c r="C967" s="35"/>
      <c r="D967" s="3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>
      <c r="A968" s="1"/>
      <c r="B968" s="1"/>
      <c r="C968" s="35"/>
      <c r="D968" s="3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>
      <c r="A969" s="1"/>
      <c r="B969" s="1"/>
      <c r="C969" s="35"/>
      <c r="D969" s="3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>
      <c r="A970" s="1"/>
      <c r="B970" s="1"/>
      <c r="C970" s="35"/>
      <c r="D970" s="3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>
      <c r="A971" s="1"/>
      <c r="B971" s="1"/>
      <c r="C971" s="35"/>
      <c r="D971" s="3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>
      <c r="A972" s="1"/>
      <c r="B972" s="1"/>
      <c r="C972" s="35"/>
      <c r="D972" s="3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>
      <c r="A973" s="1"/>
      <c r="B973" s="1"/>
      <c r="C973" s="35"/>
      <c r="D973" s="3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>
      <c r="A974" s="1"/>
      <c r="B974" s="1"/>
      <c r="C974" s="35"/>
      <c r="D974" s="3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>
      <c r="A975" s="1"/>
      <c r="B975" s="1"/>
      <c r="C975" s="35"/>
      <c r="D975" s="3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>
      <c r="A976" s="1"/>
      <c r="B976" s="1"/>
      <c r="C976" s="35"/>
      <c r="D976" s="3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>
      <c r="A977" s="1"/>
      <c r="B977" s="1"/>
      <c r="C977" s="35"/>
      <c r="D977" s="3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>
      <c r="A978" s="1"/>
      <c r="B978" s="1"/>
      <c r="C978" s="35"/>
      <c r="D978" s="3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>
      <c r="A979" s="1"/>
      <c r="B979" s="1"/>
      <c r="C979" s="35"/>
      <c r="D979" s="3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>
      <c r="A980" s="1"/>
      <c r="B980" s="1"/>
      <c r="C980" s="35"/>
      <c r="D980" s="3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>
      <c r="A981" s="1"/>
      <c r="B981" s="1"/>
      <c r="C981" s="35"/>
      <c r="D981" s="3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>
      <c r="A982" s="1"/>
      <c r="B982" s="1"/>
      <c r="C982" s="35"/>
      <c r="D982" s="3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>
      <c r="A983" s="1"/>
      <c r="B983" s="1"/>
      <c r="C983" s="35"/>
      <c r="D983" s="3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>
      <c r="A984" s="1"/>
      <c r="B984" s="1"/>
      <c r="C984" s="35"/>
      <c r="D984" s="3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>
      <c r="A985" s="1"/>
      <c r="B985" s="1"/>
      <c r="C985" s="35"/>
      <c r="D985" s="3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>
      <c r="A986" s="1"/>
      <c r="B986" s="1"/>
      <c r="C986" s="35"/>
      <c r="D986" s="3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>
      <c r="A987" s="1"/>
      <c r="B987" s="1"/>
      <c r="C987" s="35"/>
      <c r="D987" s="3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>
      <c r="A988" s="1"/>
      <c r="B988" s="1"/>
      <c r="C988" s="35"/>
      <c r="D988" s="3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>
      <c r="A989" s="1"/>
      <c r="B989" s="1"/>
      <c r="C989" s="35"/>
      <c r="D989" s="3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>
      <c r="A990" s="1"/>
      <c r="B990" s="1"/>
      <c r="C990" s="35"/>
      <c r="D990" s="3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>
      <c r="A991" s="1"/>
      <c r="B991" s="1"/>
      <c r="C991" s="35"/>
      <c r="D991" s="3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>
      <c r="A992" s="1"/>
      <c r="B992" s="1"/>
      <c r="C992" s="35"/>
      <c r="D992" s="3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>
      <c r="A993" s="1"/>
      <c r="B993" s="1"/>
      <c r="C993" s="35"/>
      <c r="D993" s="3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>
      <c r="A994" s="1"/>
      <c r="B994" s="1"/>
      <c r="C994" s="35"/>
      <c r="D994" s="3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>
      <c r="A995" s="1"/>
      <c r="B995" s="1"/>
      <c r="C995" s="35"/>
      <c r="D995" s="3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1">
    <mergeCell ref="F2:I2"/>
  </mergeCells>
  <dataValidations count="1">
    <dataValidation type="list" allowBlank="1" showErrorMessage="1" sqref="H4:H105" xr:uid="{00000000-0002-0000-0900-000000000000}">
      <formula1>"B2B,B2C"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72"/>
  <sheetViews>
    <sheetView workbookViewId="0"/>
  </sheetViews>
  <sheetFormatPr defaultColWidth="12.6640625" defaultRowHeight="15.75" customHeight="1"/>
  <cols>
    <col min="1" max="1" width="8.33203125" customWidth="1"/>
    <col min="2" max="2" width="5.109375" customWidth="1"/>
    <col min="3" max="3" width="9.33203125" customWidth="1"/>
    <col min="4" max="4" width="37" customWidth="1"/>
    <col min="5" max="5" width="18.21875" customWidth="1"/>
    <col min="6" max="6" width="16.88671875" customWidth="1"/>
    <col min="7" max="7" width="22.44140625" customWidth="1"/>
    <col min="9" max="9" width="15.21875" customWidth="1"/>
    <col min="10" max="10" width="25.88671875" customWidth="1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/>
      <c r="B2" s="3"/>
      <c r="C2" s="3"/>
      <c r="D2" s="3"/>
      <c r="E2" s="3"/>
      <c r="F2" s="58" t="s">
        <v>627</v>
      </c>
      <c r="G2" s="59"/>
      <c r="H2" s="59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/>
      <c r="B3" s="18" t="s">
        <v>0</v>
      </c>
      <c r="C3" s="18" t="s">
        <v>3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5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3"/>
      <c r="B4" s="14">
        <v>1</v>
      </c>
      <c r="C4" s="14" t="s">
        <v>631</v>
      </c>
      <c r="D4" s="26" t="s">
        <v>632</v>
      </c>
      <c r="E4" s="8">
        <v>1525023132</v>
      </c>
      <c r="F4" s="9">
        <v>46083</v>
      </c>
      <c r="G4" s="26" t="s">
        <v>634</v>
      </c>
      <c r="H4" s="14" t="s">
        <v>19</v>
      </c>
      <c r="I4" s="14" t="s">
        <v>635</v>
      </c>
      <c r="J4" s="26" t="s">
        <v>324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14">
        <v>2</v>
      </c>
      <c r="C5" s="14" t="s">
        <v>631</v>
      </c>
      <c r="D5" s="26" t="s">
        <v>636</v>
      </c>
      <c r="E5" s="8">
        <v>1510618050</v>
      </c>
      <c r="F5" s="9">
        <v>46087</v>
      </c>
      <c r="G5" s="26" t="s">
        <v>634</v>
      </c>
      <c r="H5" s="14" t="s">
        <v>19</v>
      </c>
      <c r="I5" s="14" t="s">
        <v>635</v>
      </c>
      <c r="J5" s="26" t="s">
        <v>324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3"/>
      <c r="B6" s="14">
        <v>3</v>
      </c>
      <c r="C6" s="14" t="s">
        <v>631</v>
      </c>
      <c r="D6" s="26" t="s">
        <v>638</v>
      </c>
      <c r="E6" s="8">
        <v>1511219040</v>
      </c>
      <c r="F6" s="9">
        <v>46087</v>
      </c>
      <c r="G6" s="26" t="s">
        <v>192</v>
      </c>
      <c r="H6" s="14" t="s">
        <v>19</v>
      </c>
      <c r="I6" s="14" t="s">
        <v>635</v>
      </c>
      <c r="J6" s="26" t="s">
        <v>324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3"/>
      <c r="B7" s="14">
        <v>4</v>
      </c>
      <c r="C7" s="14" t="s">
        <v>631</v>
      </c>
      <c r="D7" s="26" t="s">
        <v>639</v>
      </c>
      <c r="E7" s="8">
        <v>1528883544</v>
      </c>
      <c r="F7" s="9">
        <v>46098</v>
      </c>
      <c r="G7" s="26" t="s">
        <v>634</v>
      </c>
      <c r="H7" s="14" t="s">
        <v>19</v>
      </c>
      <c r="I7" s="14" t="s">
        <v>635</v>
      </c>
      <c r="J7" s="26" t="s">
        <v>324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3"/>
      <c r="B8" s="14">
        <v>5</v>
      </c>
      <c r="C8" s="14" t="s">
        <v>631</v>
      </c>
      <c r="D8" s="26" t="s">
        <v>641</v>
      </c>
      <c r="E8" s="8">
        <v>1982335310</v>
      </c>
      <c r="F8" s="9">
        <v>46101</v>
      </c>
      <c r="G8" s="26" t="s">
        <v>192</v>
      </c>
      <c r="H8" s="14" t="s">
        <v>19</v>
      </c>
      <c r="I8" s="14" t="s">
        <v>635</v>
      </c>
      <c r="J8" s="26" t="s">
        <v>324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14">
        <v>6</v>
      </c>
      <c r="C9" s="14" t="s">
        <v>631</v>
      </c>
      <c r="D9" s="26" t="s">
        <v>644</v>
      </c>
      <c r="E9" s="8">
        <v>1612261697</v>
      </c>
      <c r="F9" s="9">
        <v>46142</v>
      </c>
      <c r="G9" s="26" t="s">
        <v>634</v>
      </c>
      <c r="H9" s="14" t="s">
        <v>19</v>
      </c>
      <c r="I9" s="14" t="s">
        <v>635</v>
      </c>
      <c r="J9" s="26" t="s">
        <v>324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14">
        <v>7</v>
      </c>
      <c r="C10" s="14" t="s">
        <v>631</v>
      </c>
      <c r="D10" s="26" t="s">
        <v>645</v>
      </c>
      <c r="E10" s="8">
        <v>3000070094</v>
      </c>
      <c r="F10" s="9">
        <v>46150</v>
      </c>
      <c r="G10" s="26" t="s">
        <v>255</v>
      </c>
      <c r="H10" s="14" t="s">
        <v>19</v>
      </c>
      <c r="I10" s="14" t="s">
        <v>635</v>
      </c>
      <c r="J10" s="26" t="s">
        <v>324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14">
        <v>8</v>
      </c>
      <c r="C11" s="14" t="s">
        <v>631</v>
      </c>
      <c r="D11" s="26" t="s">
        <v>647</v>
      </c>
      <c r="E11" s="8">
        <v>1721126209</v>
      </c>
      <c r="F11" s="9">
        <v>46156</v>
      </c>
      <c r="G11" s="26" t="s">
        <v>255</v>
      </c>
      <c r="H11" s="14" t="s">
        <v>19</v>
      </c>
      <c r="I11" s="14" t="s">
        <v>635</v>
      </c>
      <c r="J11" s="26" t="s">
        <v>324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14">
        <v>9</v>
      </c>
      <c r="C12" s="14" t="s">
        <v>631</v>
      </c>
      <c r="D12" s="26" t="s">
        <v>649</v>
      </c>
      <c r="E12" s="8">
        <v>1597110634</v>
      </c>
      <c r="F12" s="9">
        <v>46161</v>
      </c>
      <c r="G12" s="26" t="s">
        <v>255</v>
      </c>
      <c r="H12" s="14" t="s">
        <v>19</v>
      </c>
      <c r="I12" s="14" t="s">
        <v>635</v>
      </c>
      <c r="J12" s="26" t="s">
        <v>324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14">
        <v>10</v>
      </c>
      <c r="C13" s="14" t="s">
        <v>631</v>
      </c>
      <c r="D13" s="26" t="s">
        <v>651</v>
      </c>
      <c r="E13" s="8">
        <v>1636228640</v>
      </c>
      <c r="F13" s="9">
        <v>46161</v>
      </c>
      <c r="G13" s="26" t="s">
        <v>652</v>
      </c>
      <c r="H13" s="14" t="s">
        <v>19</v>
      </c>
      <c r="I13" s="14" t="s">
        <v>635</v>
      </c>
      <c r="J13" s="26" t="s">
        <v>324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14">
        <v>11</v>
      </c>
      <c r="C14" s="14" t="s">
        <v>631</v>
      </c>
      <c r="D14" s="26" t="s">
        <v>653</v>
      </c>
      <c r="E14" s="8">
        <v>1566240524</v>
      </c>
      <c r="F14" s="9">
        <v>46164</v>
      </c>
      <c r="G14" s="26" t="s">
        <v>634</v>
      </c>
      <c r="H14" s="14" t="s">
        <v>19</v>
      </c>
      <c r="I14" s="14" t="s">
        <v>635</v>
      </c>
      <c r="J14" s="26" t="s">
        <v>324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14">
        <v>12</v>
      </c>
      <c r="C15" s="14" t="s">
        <v>631</v>
      </c>
      <c r="D15" s="26" t="s">
        <v>655</v>
      </c>
      <c r="E15" s="8">
        <v>1584356202</v>
      </c>
      <c r="F15" s="9">
        <v>46167</v>
      </c>
      <c r="G15" s="26" t="s">
        <v>634</v>
      </c>
      <c r="H15" s="14" t="s">
        <v>19</v>
      </c>
      <c r="I15" s="14" t="s">
        <v>635</v>
      </c>
      <c r="J15" s="26" t="s">
        <v>324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14">
        <v>13</v>
      </c>
      <c r="C16" s="14" t="s">
        <v>631</v>
      </c>
      <c r="D16" s="26" t="s">
        <v>657</v>
      </c>
      <c r="E16" s="8">
        <v>1984901649</v>
      </c>
      <c r="F16" s="9">
        <v>46167</v>
      </c>
      <c r="G16" s="26" t="s">
        <v>255</v>
      </c>
      <c r="H16" s="14" t="s">
        <v>19</v>
      </c>
      <c r="I16" s="14" t="s">
        <v>635</v>
      </c>
      <c r="J16" s="26" t="s">
        <v>324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14">
        <v>14</v>
      </c>
      <c r="C17" s="14" t="s">
        <v>631</v>
      </c>
      <c r="D17" s="26" t="s">
        <v>659</v>
      </c>
      <c r="E17" s="8">
        <v>1793876561</v>
      </c>
      <c r="F17" s="9">
        <v>46177</v>
      </c>
      <c r="G17" s="26" t="s">
        <v>224</v>
      </c>
      <c r="H17" s="14" t="s">
        <v>19</v>
      </c>
      <c r="I17" s="14" t="s">
        <v>635</v>
      </c>
      <c r="J17" s="26" t="s">
        <v>324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14">
        <v>15</v>
      </c>
      <c r="C18" s="14" t="s">
        <v>631</v>
      </c>
      <c r="D18" s="26" t="s">
        <v>661</v>
      </c>
      <c r="E18" s="8">
        <v>1690566125</v>
      </c>
      <c r="F18" s="9">
        <v>46209</v>
      </c>
      <c r="G18" s="26" t="s">
        <v>224</v>
      </c>
      <c r="H18" s="14" t="s">
        <v>19</v>
      </c>
      <c r="I18" s="14" t="s">
        <v>635</v>
      </c>
      <c r="J18" s="26" t="s">
        <v>324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14">
        <v>16</v>
      </c>
      <c r="C19" s="14" t="s">
        <v>631</v>
      </c>
      <c r="D19" s="26" t="s">
        <v>662</v>
      </c>
      <c r="E19" s="8">
        <v>1159627933</v>
      </c>
      <c r="F19" s="9">
        <v>46210</v>
      </c>
      <c r="G19" s="26" t="s">
        <v>255</v>
      </c>
      <c r="H19" s="14" t="s">
        <v>19</v>
      </c>
      <c r="I19" s="14" t="s">
        <v>635</v>
      </c>
      <c r="J19" s="26" t="s">
        <v>324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14">
        <v>17</v>
      </c>
      <c r="C20" s="14" t="s">
        <v>631</v>
      </c>
      <c r="D20" s="26" t="s">
        <v>664</v>
      </c>
      <c r="E20" s="8">
        <v>1222061051</v>
      </c>
      <c r="F20" s="9">
        <v>46210</v>
      </c>
      <c r="G20" s="26" t="s">
        <v>224</v>
      </c>
      <c r="H20" s="14" t="s">
        <v>19</v>
      </c>
      <c r="I20" s="14" t="s">
        <v>635</v>
      </c>
      <c r="J20" s="26" t="s">
        <v>324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14">
        <v>18</v>
      </c>
      <c r="C21" s="14" t="s">
        <v>631</v>
      </c>
      <c r="D21" s="26" t="s">
        <v>666</v>
      </c>
      <c r="E21" s="8">
        <v>1296215964</v>
      </c>
      <c r="F21" s="9">
        <v>46220</v>
      </c>
      <c r="G21" s="26" t="s">
        <v>192</v>
      </c>
      <c r="H21" s="14" t="s">
        <v>19</v>
      </c>
      <c r="I21" s="14" t="s">
        <v>635</v>
      </c>
      <c r="J21" s="26" t="s">
        <v>324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14">
        <v>19</v>
      </c>
      <c r="C22" s="14" t="s">
        <v>631</v>
      </c>
      <c r="D22" s="26" t="s">
        <v>668</v>
      </c>
      <c r="E22" s="8">
        <v>1385448578</v>
      </c>
      <c r="F22" s="9">
        <v>46221</v>
      </c>
      <c r="G22" s="26" t="s">
        <v>224</v>
      </c>
      <c r="H22" s="14" t="s">
        <v>19</v>
      </c>
      <c r="I22" s="14" t="s">
        <v>635</v>
      </c>
      <c r="J22" s="26" t="s">
        <v>324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14">
        <v>20</v>
      </c>
      <c r="C23" s="14" t="s">
        <v>631</v>
      </c>
      <c r="D23" s="26" t="s">
        <v>669</v>
      </c>
      <c r="E23" s="8">
        <v>1440725028</v>
      </c>
      <c r="F23" s="9">
        <v>46226</v>
      </c>
      <c r="G23" s="26" t="s">
        <v>224</v>
      </c>
      <c r="H23" s="14" t="s">
        <v>19</v>
      </c>
      <c r="I23" s="14" t="s">
        <v>635</v>
      </c>
      <c r="J23" s="26" t="s">
        <v>324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14">
        <v>21</v>
      </c>
      <c r="C24" s="14" t="s">
        <v>631</v>
      </c>
      <c r="D24" s="26" t="s">
        <v>671</v>
      </c>
      <c r="E24" s="8">
        <v>1251855627</v>
      </c>
      <c r="F24" s="9">
        <v>46228</v>
      </c>
      <c r="G24" s="26" t="s">
        <v>672</v>
      </c>
      <c r="H24" s="14" t="s">
        <v>19</v>
      </c>
      <c r="I24" s="14" t="s">
        <v>635</v>
      </c>
      <c r="J24" s="26" t="s">
        <v>324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14">
        <v>22</v>
      </c>
      <c r="C25" s="14" t="s">
        <v>631</v>
      </c>
      <c r="D25" s="26" t="s">
        <v>674</v>
      </c>
      <c r="E25" s="8">
        <v>1315432361</v>
      </c>
      <c r="F25" s="9">
        <v>46235</v>
      </c>
      <c r="G25" s="26" t="s">
        <v>192</v>
      </c>
      <c r="H25" s="14" t="s">
        <v>19</v>
      </c>
      <c r="I25" s="14" t="s">
        <v>635</v>
      </c>
      <c r="J25" s="26" t="s">
        <v>324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14">
        <v>23</v>
      </c>
      <c r="C26" s="14" t="s">
        <v>631</v>
      </c>
      <c r="D26" s="26" t="s">
        <v>676</v>
      </c>
      <c r="E26" s="8">
        <v>1890509066</v>
      </c>
      <c r="F26" s="9">
        <v>46235</v>
      </c>
      <c r="G26" s="26" t="s">
        <v>652</v>
      </c>
      <c r="H26" s="14" t="s">
        <v>19</v>
      </c>
      <c r="I26" s="14" t="s">
        <v>635</v>
      </c>
      <c r="J26" s="26" t="s">
        <v>324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4">
      <c r="A27" s="3"/>
      <c r="B27" s="14">
        <v>24</v>
      </c>
      <c r="C27" s="14" t="s">
        <v>631</v>
      </c>
      <c r="D27" s="26" t="s">
        <v>678</v>
      </c>
      <c r="E27" s="8">
        <v>1126700991</v>
      </c>
      <c r="F27" s="9">
        <v>46237</v>
      </c>
      <c r="G27" s="26" t="s">
        <v>192</v>
      </c>
      <c r="H27" s="14" t="s">
        <v>19</v>
      </c>
      <c r="I27" s="14" t="s">
        <v>635</v>
      </c>
      <c r="J27" s="26" t="s">
        <v>324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4">
      <c r="A28" s="3"/>
      <c r="B28" s="14">
        <v>25</v>
      </c>
      <c r="C28" s="14" t="s">
        <v>631</v>
      </c>
      <c r="D28" s="26" t="s">
        <v>679</v>
      </c>
      <c r="E28" s="8">
        <v>1401056217</v>
      </c>
      <c r="F28" s="9">
        <v>46237</v>
      </c>
      <c r="G28" s="26" t="s">
        <v>192</v>
      </c>
      <c r="H28" s="14" t="s">
        <v>19</v>
      </c>
      <c r="I28" s="14" t="s">
        <v>635</v>
      </c>
      <c r="J28" s="26" t="s">
        <v>324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4">
      <c r="A29" s="3"/>
      <c r="B29" s="14">
        <v>26</v>
      </c>
      <c r="C29" s="14" t="s">
        <v>631</v>
      </c>
      <c r="D29" s="26" t="s">
        <v>681</v>
      </c>
      <c r="E29" s="8">
        <v>1409373171</v>
      </c>
      <c r="F29" s="9">
        <v>46237</v>
      </c>
      <c r="G29" s="26" t="s">
        <v>192</v>
      </c>
      <c r="H29" s="14" t="s">
        <v>19</v>
      </c>
      <c r="I29" s="14" t="s">
        <v>635</v>
      </c>
      <c r="J29" s="26" t="s">
        <v>324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4">
      <c r="A30" s="3"/>
      <c r="B30" s="14">
        <v>27</v>
      </c>
      <c r="C30" s="14" t="s">
        <v>631</v>
      </c>
      <c r="D30" s="26" t="s">
        <v>683</v>
      </c>
      <c r="E30" s="8">
        <v>1724486782</v>
      </c>
      <c r="F30" s="9">
        <v>46237</v>
      </c>
      <c r="G30" s="26" t="s">
        <v>192</v>
      </c>
      <c r="H30" s="14" t="s">
        <v>19</v>
      </c>
      <c r="I30" s="14" t="s">
        <v>635</v>
      </c>
      <c r="J30" s="26" t="s">
        <v>324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4">
      <c r="A31" s="3"/>
      <c r="B31" s="14">
        <v>28</v>
      </c>
      <c r="C31" s="14" t="s">
        <v>631</v>
      </c>
      <c r="D31" s="26" t="s">
        <v>685</v>
      </c>
      <c r="E31" s="8">
        <v>1227122096</v>
      </c>
      <c r="F31" s="9">
        <v>46242</v>
      </c>
      <c r="G31" s="26" t="s">
        <v>224</v>
      </c>
      <c r="H31" s="14" t="s">
        <v>19</v>
      </c>
      <c r="I31" s="14" t="s">
        <v>635</v>
      </c>
      <c r="J31" s="26" t="s">
        <v>324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4">
      <c r="A32" s="3"/>
      <c r="B32" s="14">
        <v>29</v>
      </c>
      <c r="C32" s="14" t="s">
        <v>631</v>
      </c>
      <c r="D32" s="26" t="s">
        <v>686</v>
      </c>
      <c r="E32" s="8">
        <v>1380032731</v>
      </c>
      <c r="F32" s="9">
        <v>46244</v>
      </c>
      <c r="G32" s="26" t="s">
        <v>192</v>
      </c>
      <c r="H32" s="14" t="s">
        <v>19</v>
      </c>
      <c r="I32" s="14" t="s">
        <v>635</v>
      </c>
      <c r="J32" s="26" t="s">
        <v>324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4">
      <c r="A33" s="3"/>
      <c r="B33" s="14">
        <v>30</v>
      </c>
      <c r="C33" s="14" t="s">
        <v>631</v>
      </c>
      <c r="D33" s="26" t="s">
        <v>687</v>
      </c>
      <c r="E33" s="8">
        <v>1816851338</v>
      </c>
      <c r="F33" s="9">
        <v>46244</v>
      </c>
      <c r="G33" s="26" t="s">
        <v>192</v>
      </c>
      <c r="H33" s="14" t="s">
        <v>19</v>
      </c>
      <c r="I33" s="14" t="s">
        <v>635</v>
      </c>
      <c r="J33" s="26" t="s">
        <v>324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4">
      <c r="A34" s="3"/>
      <c r="B34" s="14">
        <v>31</v>
      </c>
      <c r="C34" s="14" t="s">
        <v>631</v>
      </c>
      <c r="D34" s="26" t="s">
        <v>688</v>
      </c>
      <c r="E34" s="8">
        <v>1744886086</v>
      </c>
      <c r="F34" s="9">
        <v>46245</v>
      </c>
      <c r="G34" s="26" t="s">
        <v>224</v>
      </c>
      <c r="H34" s="14" t="s">
        <v>19</v>
      </c>
      <c r="I34" s="14" t="s">
        <v>635</v>
      </c>
      <c r="J34" s="26" t="s">
        <v>324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4">
      <c r="A35" s="3"/>
      <c r="B35" s="14">
        <v>32</v>
      </c>
      <c r="C35" s="14" t="s">
        <v>631</v>
      </c>
      <c r="D35" s="26" t="s">
        <v>689</v>
      </c>
      <c r="E35" s="8">
        <v>1418224578</v>
      </c>
      <c r="F35" s="9">
        <v>46246</v>
      </c>
      <c r="G35" s="26" t="s">
        <v>192</v>
      </c>
      <c r="H35" s="14" t="s">
        <v>19</v>
      </c>
      <c r="I35" s="14" t="s">
        <v>635</v>
      </c>
      <c r="J35" s="26" t="s">
        <v>324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4">
      <c r="A36" s="3"/>
      <c r="B36" s="14">
        <v>33</v>
      </c>
      <c r="C36" s="14" t="s">
        <v>631</v>
      </c>
      <c r="D36" s="26" t="s">
        <v>691</v>
      </c>
      <c r="E36" s="8">
        <v>1615814979</v>
      </c>
      <c r="F36" s="9">
        <v>46251</v>
      </c>
      <c r="G36" s="26" t="s">
        <v>192</v>
      </c>
      <c r="H36" s="14" t="s">
        <v>19</v>
      </c>
      <c r="I36" s="14" t="s">
        <v>635</v>
      </c>
      <c r="J36" s="26" t="s">
        <v>324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4">
      <c r="A37" s="3"/>
      <c r="B37" s="14">
        <v>34</v>
      </c>
      <c r="C37" s="14" t="s">
        <v>631</v>
      </c>
      <c r="D37" s="26" t="s">
        <v>692</v>
      </c>
      <c r="E37" s="8">
        <v>1174347235</v>
      </c>
      <c r="F37" s="9">
        <v>46253</v>
      </c>
      <c r="G37" s="26" t="s">
        <v>192</v>
      </c>
      <c r="H37" s="14" t="s">
        <v>19</v>
      </c>
      <c r="I37" s="14" t="s">
        <v>635</v>
      </c>
      <c r="J37" s="26" t="s">
        <v>324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4">
      <c r="A38" s="3"/>
      <c r="B38" s="14">
        <v>35</v>
      </c>
      <c r="C38" s="14" t="s">
        <v>631</v>
      </c>
      <c r="D38" s="26" t="s">
        <v>694</v>
      </c>
      <c r="E38" s="8">
        <v>1234675395</v>
      </c>
      <c r="F38" s="9">
        <v>46253</v>
      </c>
      <c r="G38" s="26" t="s">
        <v>224</v>
      </c>
      <c r="H38" s="14" t="s">
        <v>19</v>
      </c>
      <c r="I38" s="14" t="s">
        <v>635</v>
      </c>
      <c r="J38" s="26" t="s">
        <v>324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4">
      <c r="A39" s="3"/>
      <c r="B39" s="14">
        <v>36</v>
      </c>
      <c r="C39" s="14" t="s">
        <v>631</v>
      </c>
      <c r="D39" s="26" t="s">
        <v>696</v>
      </c>
      <c r="E39" s="8">
        <v>1304684078</v>
      </c>
      <c r="F39" s="9">
        <v>46254</v>
      </c>
      <c r="G39" s="26" t="s">
        <v>224</v>
      </c>
      <c r="H39" s="14" t="s">
        <v>19</v>
      </c>
      <c r="I39" s="14" t="s">
        <v>635</v>
      </c>
      <c r="J39" s="26" t="s">
        <v>324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4">
      <c r="A40" s="3"/>
      <c r="B40" s="14">
        <v>37</v>
      </c>
      <c r="C40" s="14" t="s">
        <v>631</v>
      </c>
      <c r="D40" s="26" t="s">
        <v>697</v>
      </c>
      <c r="E40" s="8">
        <v>1173948967</v>
      </c>
      <c r="F40" s="9">
        <v>46259</v>
      </c>
      <c r="G40" s="26" t="s">
        <v>634</v>
      </c>
      <c r="H40" s="14" t="s">
        <v>19</v>
      </c>
      <c r="I40" s="14" t="s">
        <v>635</v>
      </c>
      <c r="J40" s="26" t="s">
        <v>324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4">
      <c r="A41" s="3"/>
      <c r="B41" s="14">
        <v>38</v>
      </c>
      <c r="C41" s="14" t="s">
        <v>631</v>
      </c>
      <c r="D41" s="26" t="s">
        <v>698</v>
      </c>
      <c r="E41" s="8">
        <v>1339181664</v>
      </c>
      <c r="F41" s="9">
        <v>46262</v>
      </c>
      <c r="G41" s="26" t="s">
        <v>224</v>
      </c>
      <c r="H41" s="14" t="s">
        <v>19</v>
      </c>
      <c r="I41" s="14" t="s">
        <v>635</v>
      </c>
      <c r="J41" s="26" t="s">
        <v>324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4">
      <c r="A42" s="3"/>
      <c r="B42" s="14">
        <v>39</v>
      </c>
      <c r="C42" s="14" t="s">
        <v>631</v>
      </c>
      <c r="D42" s="26" t="s">
        <v>699</v>
      </c>
      <c r="E42" s="8">
        <v>1115853922</v>
      </c>
      <c r="F42" s="9">
        <v>46265</v>
      </c>
      <c r="G42" s="26" t="s">
        <v>192</v>
      </c>
      <c r="H42" s="14" t="s">
        <v>19</v>
      </c>
      <c r="I42" s="14" t="s">
        <v>635</v>
      </c>
      <c r="J42" s="26" t="s">
        <v>324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4">
      <c r="A43" s="3"/>
      <c r="B43" s="14">
        <v>40</v>
      </c>
      <c r="C43" s="14" t="s">
        <v>631</v>
      </c>
      <c r="D43" s="26" t="s">
        <v>700</v>
      </c>
      <c r="E43" s="8">
        <v>1827455456</v>
      </c>
      <c r="F43" s="9">
        <v>46265</v>
      </c>
      <c r="G43" s="26" t="s">
        <v>192</v>
      </c>
      <c r="H43" s="14" t="s">
        <v>19</v>
      </c>
      <c r="I43" s="14" t="s">
        <v>635</v>
      </c>
      <c r="J43" s="26" t="s">
        <v>324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4">
      <c r="A44" s="3"/>
      <c r="B44" s="14">
        <v>41</v>
      </c>
      <c r="C44" s="14" t="s">
        <v>631</v>
      </c>
      <c r="D44" s="50" t="s">
        <v>701</v>
      </c>
      <c r="E44" s="51">
        <v>1868160470</v>
      </c>
      <c r="F44" s="9" t="s">
        <v>358</v>
      </c>
      <c r="G44" s="50" t="s">
        <v>192</v>
      </c>
      <c r="H44" s="14" t="s">
        <v>19</v>
      </c>
      <c r="I44" s="14" t="s">
        <v>635</v>
      </c>
      <c r="J44" s="26" t="s">
        <v>324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4">
      <c r="A45" s="3"/>
      <c r="B45" s="14">
        <v>42</v>
      </c>
      <c r="C45" s="14" t="s">
        <v>631</v>
      </c>
      <c r="D45" s="26" t="s">
        <v>702</v>
      </c>
      <c r="E45" s="8">
        <v>1480067875</v>
      </c>
      <c r="F45" s="9" t="s">
        <v>703</v>
      </c>
      <c r="G45" s="26" t="s">
        <v>634</v>
      </c>
      <c r="H45" s="14" t="s">
        <v>19</v>
      </c>
      <c r="I45" s="14" t="s">
        <v>635</v>
      </c>
      <c r="J45" s="26" t="s">
        <v>324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4">
      <c r="A46" s="3"/>
      <c r="B46" s="14">
        <v>43</v>
      </c>
      <c r="C46" s="14" t="s">
        <v>631</v>
      </c>
      <c r="D46" s="26" t="s">
        <v>704</v>
      </c>
      <c r="E46" s="8">
        <v>1967768859</v>
      </c>
      <c r="F46" s="9" t="s">
        <v>299</v>
      </c>
      <c r="G46" s="26" t="s">
        <v>224</v>
      </c>
      <c r="H46" s="14" t="s">
        <v>19</v>
      </c>
      <c r="I46" s="14" t="s">
        <v>635</v>
      </c>
      <c r="J46" s="26" t="s">
        <v>324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4">
      <c r="A47" s="3"/>
      <c r="B47" s="14">
        <v>44</v>
      </c>
      <c r="C47" s="14" t="s">
        <v>631</v>
      </c>
      <c r="D47" s="26" t="s">
        <v>705</v>
      </c>
      <c r="E47" s="8">
        <v>1701347064</v>
      </c>
      <c r="F47" s="9" t="s">
        <v>706</v>
      </c>
      <c r="G47" s="26" t="s">
        <v>192</v>
      </c>
      <c r="H47" s="14" t="s">
        <v>19</v>
      </c>
      <c r="I47" s="14" t="s">
        <v>635</v>
      </c>
      <c r="J47" s="26" t="s">
        <v>324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4">
      <c r="A48" s="3"/>
      <c r="B48" s="14">
        <v>45</v>
      </c>
      <c r="C48" s="14" t="s">
        <v>631</v>
      </c>
      <c r="D48" s="26" t="s">
        <v>707</v>
      </c>
      <c r="E48" s="8">
        <v>1803276809</v>
      </c>
      <c r="F48" s="9" t="s">
        <v>708</v>
      </c>
      <c r="G48" s="26" t="s">
        <v>709</v>
      </c>
      <c r="H48" s="14" t="s">
        <v>19</v>
      </c>
      <c r="I48" s="14" t="s">
        <v>635</v>
      </c>
      <c r="J48" s="26" t="s">
        <v>324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4">
      <c r="A49" s="3"/>
      <c r="B49" s="14">
        <v>46</v>
      </c>
      <c r="C49" s="14" t="s">
        <v>631</v>
      </c>
      <c r="D49" s="26" t="s">
        <v>710</v>
      </c>
      <c r="E49" s="8">
        <v>1673674046</v>
      </c>
      <c r="F49" s="9" t="s">
        <v>290</v>
      </c>
      <c r="G49" s="26" t="s">
        <v>192</v>
      </c>
      <c r="H49" s="14" t="s">
        <v>19</v>
      </c>
      <c r="I49" s="14" t="s">
        <v>635</v>
      </c>
      <c r="J49" s="26" t="s">
        <v>324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4">
      <c r="A50" s="3"/>
      <c r="B50" s="14">
        <v>47</v>
      </c>
      <c r="C50" s="14" t="s">
        <v>631</v>
      </c>
      <c r="D50" s="26" t="s">
        <v>711</v>
      </c>
      <c r="E50" s="8">
        <v>1255909570</v>
      </c>
      <c r="F50" s="9" t="s">
        <v>712</v>
      </c>
      <c r="G50" s="26" t="s">
        <v>192</v>
      </c>
      <c r="H50" s="14" t="s">
        <v>19</v>
      </c>
      <c r="I50" s="14" t="s">
        <v>635</v>
      </c>
      <c r="J50" s="26" t="s">
        <v>324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4">
      <c r="A51" s="3"/>
      <c r="B51" s="14">
        <v>48</v>
      </c>
      <c r="C51" s="14" t="s">
        <v>631</v>
      </c>
      <c r="D51" s="26" t="s">
        <v>713</v>
      </c>
      <c r="E51" s="8">
        <v>1279430186</v>
      </c>
      <c r="F51" s="9" t="s">
        <v>714</v>
      </c>
      <c r="G51" s="26" t="s">
        <v>192</v>
      </c>
      <c r="H51" s="14" t="s">
        <v>19</v>
      </c>
      <c r="I51" s="14" t="s">
        <v>635</v>
      </c>
      <c r="J51" s="26" t="s">
        <v>324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4">
      <c r="A52" s="3"/>
      <c r="B52" s="14">
        <v>49</v>
      </c>
      <c r="C52" s="14" t="s">
        <v>631</v>
      </c>
      <c r="D52" s="26" t="s">
        <v>715</v>
      </c>
      <c r="E52" s="8">
        <v>1683888422</v>
      </c>
      <c r="F52" s="9" t="s">
        <v>714</v>
      </c>
      <c r="G52" s="26" t="s">
        <v>224</v>
      </c>
      <c r="H52" s="14" t="s">
        <v>19</v>
      </c>
      <c r="I52" s="14" t="s">
        <v>635</v>
      </c>
      <c r="J52" s="26" t="s">
        <v>324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4">
      <c r="A53" s="3"/>
      <c r="B53" s="14">
        <v>50</v>
      </c>
      <c r="C53" s="14" t="s">
        <v>631</v>
      </c>
      <c r="D53" s="26" t="s">
        <v>716</v>
      </c>
      <c r="E53" s="8">
        <v>1296899413</v>
      </c>
      <c r="F53" s="9" t="s">
        <v>717</v>
      </c>
      <c r="G53" s="26" t="s">
        <v>224</v>
      </c>
      <c r="H53" s="14" t="s">
        <v>19</v>
      </c>
      <c r="I53" s="14" t="s">
        <v>635</v>
      </c>
      <c r="J53" s="26" t="s">
        <v>324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4">
      <c r="A54" s="3"/>
      <c r="B54" s="14">
        <v>51</v>
      </c>
      <c r="C54" s="14" t="s">
        <v>631</v>
      </c>
      <c r="D54" s="26" t="s">
        <v>718</v>
      </c>
      <c r="E54" s="8">
        <v>1625383718</v>
      </c>
      <c r="F54" s="9" t="s">
        <v>717</v>
      </c>
      <c r="G54" s="26" t="s">
        <v>224</v>
      </c>
      <c r="H54" s="14" t="s">
        <v>19</v>
      </c>
      <c r="I54" s="14" t="s">
        <v>635</v>
      </c>
      <c r="J54" s="26" t="s">
        <v>324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4">
      <c r="A55" s="3"/>
      <c r="B55" s="14">
        <v>52</v>
      </c>
      <c r="C55" s="14" t="s">
        <v>631</v>
      </c>
      <c r="D55" s="26" t="s">
        <v>719</v>
      </c>
      <c r="E55" s="8">
        <v>1961703594</v>
      </c>
      <c r="F55" s="9" t="s">
        <v>717</v>
      </c>
      <c r="G55" s="26" t="s">
        <v>224</v>
      </c>
      <c r="H55" s="14" t="s">
        <v>19</v>
      </c>
      <c r="I55" s="14" t="s">
        <v>635</v>
      </c>
      <c r="J55" s="26" t="s">
        <v>324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4">
      <c r="A56" s="3"/>
      <c r="B56" s="14">
        <v>53</v>
      </c>
      <c r="C56" s="14" t="s">
        <v>631</v>
      </c>
      <c r="D56" s="26" t="s">
        <v>720</v>
      </c>
      <c r="E56" s="8">
        <v>1561115828</v>
      </c>
      <c r="F56" s="9" t="s">
        <v>434</v>
      </c>
      <c r="G56" s="26" t="s">
        <v>192</v>
      </c>
      <c r="H56" s="14" t="s">
        <v>19</v>
      </c>
      <c r="I56" s="14" t="s">
        <v>635</v>
      </c>
      <c r="J56" s="26" t="s">
        <v>324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>
      <c r="A57" s="3"/>
      <c r="B57" s="14"/>
      <c r="C57" s="14"/>
      <c r="D57" s="14"/>
      <c r="E57" s="14"/>
      <c r="F57" s="14"/>
      <c r="G57" s="14"/>
      <c r="H57" s="14"/>
      <c r="I57" s="14"/>
      <c r="J57" s="1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>
      <c r="A58" s="3"/>
      <c r="B58" s="14"/>
      <c r="C58" s="14"/>
      <c r="D58" s="14"/>
      <c r="E58" s="14"/>
      <c r="F58" s="14"/>
      <c r="G58" s="14"/>
      <c r="H58" s="14"/>
      <c r="I58" s="14"/>
      <c r="J58" s="1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>
      <c r="A59" s="3"/>
      <c r="B59" s="14"/>
      <c r="C59" s="14"/>
      <c r="D59" s="14"/>
      <c r="E59" s="14"/>
      <c r="F59" s="14"/>
      <c r="G59" s="14"/>
      <c r="H59" s="14"/>
      <c r="I59" s="14"/>
      <c r="J59" s="1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>
      <c r="A60" s="3"/>
      <c r="B60" s="14"/>
      <c r="C60" s="14"/>
      <c r="D60" s="14"/>
      <c r="E60" s="14"/>
      <c r="F60" s="14"/>
      <c r="G60" s="14"/>
      <c r="H60" s="14"/>
      <c r="I60" s="14"/>
      <c r="J60" s="1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>
      <c r="A61" s="3"/>
      <c r="B61" s="14"/>
      <c r="C61" s="14"/>
      <c r="D61" s="14"/>
      <c r="E61" s="14"/>
      <c r="F61" s="14"/>
      <c r="G61" s="14"/>
      <c r="H61" s="14"/>
      <c r="I61" s="14"/>
      <c r="J61" s="1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>
      <c r="A62" s="3"/>
      <c r="B62" s="14"/>
      <c r="C62" s="14"/>
      <c r="D62" s="14"/>
      <c r="E62" s="14"/>
      <c r="F62" s="14"/>
      <c r="G62" s="14"/>
      <c r="H62" s="14"/>
      <c r="I62" s="14"/>
      <c r="J62" s="1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>
      <c r="A63" s="3"/>
      <c r="B63" s="14"/>
      <c r="C63" s="14"/>
      <c r="D63" s="14"/>
      <c r="E63" s="14"/>
      <c r="F63" s="14"/>
      <c r="G63" s="14"/>
      <c r="H63" s="14"/>
      <c r="I63" s="14"/>
      <c r="J63" s="1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>
      <c r="A64" s="3"/>
      <c r="B64" s="14"/>
      <c r="C64" s="14"/>
      <c r="D64" s="14"/>
      <c r="E64" s="14"/>
      <c r="F64" s="14"/>
      <c r="G64" s="14"/>
      <c r="H64" s="14"/>
      <c r="I64" s="14"/>
      <c r="J64" s="1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>
      <c r="A65" s="3"/>
      <c r="B65" s="14"/>
      <c r="C65" s="14"/>
      <c r="D65" s="14"/>
      <c r="E65" s="14"/>
      <c r="F65" s="14"/>
      <c r="G65" s="14"/>
      <c r="H65" s="14"/>
      <c r="I65" s="14"/>
      <c r="J65" s="1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>
      <c r="A66" s="3"/>
      <c r="B66" s="14"/>
      <c r="C66" s="14"/>
      <c r="D66" s="14"/>
      <c r="E66" s="14"/>
      <c r="F66" s="14"/>
      <c r="G66" s="14"/>
      <c r="H66" s="14"/>
      <c r="I66" s="14"/>
      <c r="J66" s="1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>
      <c r="A67" s="3"/>
      <c r="B67" s="14"/>
      <c r="C67" s="14"/>
      <c r="D67" s="14"/>
      <c r="E67" s="14"/>
      <c r="F67" s="14"/>
      <c r="G67" s="14"/>
      <c r="H67" s="14"/>
      <c r="I67" s="14"/>
      <c r="J67" s="1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>
      <c r="A68" s="3"/>
      <c r="B68" s="14"/>
      <c r="C68" s="14"/>
      <c r="D68" s="14"/>
      <c r="E68" s="14"/>
      <c r="F68" s="14"/>
      <c r="G68" s="14"/>
      <c r="H68" s="14"/>
      <c r="I68" s="14"/>
      <c r="J68" s="1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>
      <c r="A69" s="3"/>
      <c r="B69" s="14"/>
      <c r="C69" s="14"/>
      <c r="D69" s="14"/>
      <c r="E69" s="14"/>
      <c r="F69" s="14"/>
      <c r="G69" s="14"/>
      <c r="H69" s="14"/>
      <c r="I69" s="14"/>
      <c r="J69" s="1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>
      <c r="A70" s="3"/>
      <c r="B70" s="14"/>
      <c r="C70" s="14"/>
      <c r="D70" s="14"/>
      <c r="E70" s="14"/>
      <c r="F70" s="14"/>
      <c r="G70" s="14"/>
      <c r="H70" s="14"/>
      <c r="I70" s="14"/>
      <c r="J70" s="1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>
      <c r="A71" s="3"/>
      <c r="B71" s="14"/>
      <c r="C71" s="14"/>
      <c r="D71" s="14"/>
      <c r="E71" s="14"/>
      <c r="F71" s="14"/>
      <c r="G71" s="14"/>
      <c r="H71" s="14"/>
      <c r="I71" s="14"/>
      <c r="J71" s="1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>
      <c r="A72" s="3"/>
      <c r="B72" s="14"/>
      <c r="C72" s="14"/>
      <c r="D72" s="14"/>
      <c r="E72" s="14"/>
      <c r="F72" s="14"/>
      <c r="G72" s="14"/>
      <c r="H72" s="14"/>
      <c r="I72" s="14"/>
      <c r="J72" s="1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</sheetData>
  <mergeCells count="1">
    <mergeCell ref="F2:I2"/>
  </mergeCells>
  <dataValidations count="1">
    <dataValidation type="list" allowBlank="1" showErrorMessage="1" sqref="H4:H72" xr:uid="{00000000-0002-0000-0A00-000000000000}">
      <formula1>"B2B,B2C"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 Deshboard</vt:lpstr>
      <vt:lpstr>Master sheet</vt:lpstr>
      <vt:lpstr>Indore City</vt:lpstr>
      <vt:lpstr>Indore MFL</vt:lpstr>
      <vt:lpstr>Khandwa</vt:lpstr>
      <vt:lpstr>Mandsaur</vt:lpstr>
      <vt:lpstr>Ratlam</vt:lpstr>
      <vt:lpstr>Sehore</vt:lpstr>
      <vt:lpstr>Sheet11</vt:lpstr>
      <vt:lpstr>Ujjain</vt:lpstr>
      <vt:lpstr>RMS ID Dn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Singh</cp:lastModifiedBy>
  <dcterms:modified xsi:type="dcterms:W3CDTF">2026-10-12T14:38:12Z</dcterms:modified>
</cp:coreProperties>
</file>